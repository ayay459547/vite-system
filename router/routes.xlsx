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han_project\vite-system\public\router\"/>
    </mc:Choice>
  </mc:AlternateContent>
  <xr:revisionPtr revIDLastSave="0" documentId="13_ncr:1_{73EBC3AD-391C-44E0-8268-36184BD69F9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uth" sheetId="1" r:id="rId1"/>
    <sheet name="routes" sheetId="2" r:id="rId2"/>
    <sheet name="permission" sheetId="3" r:id="rId3"/>
  </sheets>
  <definedNames>
    <definedName name="_xlnm._FilterDatabase" localSheetId="1" hidden="1">routes!$A$1:$P$7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2" l="1"/>
  <c r="D28" i="2"/>
  <c r="J28" i="2" s="1"/>
  <c r="D27" i="2"/>
  <c r="I27" i="2" s="1"/>
  <c r="D25" i="2"/>
  <c r="I25" i="2" s="1"/>
  <c r="D24" i="2"/>
  <c r="J24" i="2" s="1"/>
  <c r="D23" i="2"/>
  <c r="I23" i="2" s="1"/>
  <c r="D20" i="2"/>
  <c r="D19" i="2"/>
  <c r="D21" i="2"/>
  <c r="D26" i="2"/>
  <c r="F26" i="2" s="1"/>
  <c r="D22" i="2"/>
  <c r="D15" i="2"/>
  <c r="D14" i="2"/>
  <c r="F14" i="2" s="1"/>
  <c r="D18" i="2"/>
  <c r="D13" i="2"/>
  <c r="I13" i="2" s="1"/>
  <c r="D17" i="2"/>
  <c r="D16" i="2"/>
  <c r="D6" i="2"/>
  <c r="H6" i="2" s="1"/>
  <c r="D11" i="2"/>
  <c r="D10" i="2"/>
  <c r="J10" i="2" s="1"/>
  <c r="D9" i="2"/>
  <c r="I9" i="2" s="1"/>
  <c r="D8" i="2"/>
  <c r="H8" i="2" s="1"/>
  <c r="D3" i="2"/>
  <c r="D12" i="2"/>
  <c r="J23" i="2" l="1"/>
  <c r="F29" i="2"/>
  <c r="K29" i="2" s="1"/>
  <c r="G29" i="2"/>
  <c r="H24" i="2"/>
  <c r="J27" i="2"/>
  <c r="F27" i="2"/>
  <c r="K27" i="2" s="1"/>
  <c r="G28" i="2"/>
  <c r="H29" i="2"/>
  <c r="F28" i="2"/>
  <c r="K28" i="2" s="1"/>
  <c r="G23" i="2"/>
  <c r="G27" i="2"/>
  <c r="H28" i="2"/>
  <c r="I29" i="2"/>
  <c r="H27" i="2"/>
  <c r="I28" i="2"/>
  <c r="J29" i="2"/>
  <c r="F25" i="2"/>
  <c r="K25" i="2" s="1"/>
  <c r="F24" i="2"/>
  <c r="K24" i="2" s="1"/>
  <c r="G25" i="2"/>
  <c r="F23" i="2"/>
  <c r="K23" i="2" s="1"/>
  <c r="G24" i="2"/>
  <c r="H25" i="2"/>
  <c r="H23" i="2"/>
  <c r="I24" i="2"/>
  <c r="J25" i="2"/>
  <c r="F20" i="2"/>
  <c r="K20" i="2" s="1"/>
  <c r="G20" i="2"/>
  <c r="H20" i="2"/>
  <c r="I20" i="2"/>
  <c r="J20" i="2"/>
  <c r="F19" i="2"/>
  <c r="K19" i="2" s="1"/>
  <c r="G19" i="2"/>
  <c r="H19" i="2"/>
  <c r="I19" i="2"/>
  <c r="J19" i="2"/>
  <c r="I26" i="2"/>
  <c r="F21" i="2"/>
  <c r="K21" i="2" s="1"/>
  <c r="G21" i="2"/>
  <c r="J21" i="2"/>
  <c r="H21" i="2"/>
  <c r="I21" i="2"/>
  <c r="K26" i="2"/>
  <c r="G26" i="2"/>
  <c r="H26" i="2"/>
  <c r="J26" i="2"/>
  <c r="F22" i="2"/>
  <c r="K22" i="2" s="1"/>
  <c r="G22" i="2"/>
  <c r="H22" i="2"/>
  <c r="I22" i="2"/>
  <c r="J22" i="2"/>
  <c r="F15" i="2"/>
  <c r="K15" i="2" s="1"/>
  <c r="G15" i="2"/>
  <c r="H15" i="2"/>
  <c r="I15" i="2"/>
  <c r="J15" i="2"/>
  <c r="K14" i="2"/>
  <c r="G14" i="2"/>
  <c r="H14" i="2"/>
  <c r="I14" i="2"/>
  <c r="J14" i="2"/>
  <c r="F18" i="2"/>
  <c r="K18" i="2" s="1"/>
  <c r="G18" i="2"/>
  <c r="H18" i="2"/>
  <c r="I18" i="2"/>
  <c r="J18" i="2"/>
  <c r="F13" i="2"/>
  <c r="K13" i="2" s="1"/>
  <c r="G13" i="2"/>
  <c r="H13" i="2"/>
  <c r="J13" i="2"/>
  <c r="F17" i="2"/>
  <c r="K17" i="2" s="1"/>
  <c r="G17" i="2"/>
  <c r="H17" i="2"/>
  <c r="I17" i="2"/>
  <c r="J17" i="2"/>
  <c r="J6" i="2"/>
  <c r="J8" i="2"/>
  <c r="F16" i="2"/>
  <c r="K16" i="2" s="1"/>
  <c r="G16" i="2"/>
  <c r="H16" i="2"/>
  <c r="J16" i="2"/>
  <c r="I16" i="2"/>
  <c r="I6" i="2"/>
  <c r="F6" i="2"/>
  <c r="K6" i="2" s="1"/>
  <c r="F8" i="2"/>
  <c r="K8" i="2" s="1"/>
  <c r="G6" i="2"/>
  <c r="I8" i="2"/>
  <c r="J9" i="2"/>
  <c r="F11" i="2"/>
  <c r="K11" i="2" s="1"/>
  <c r="F10" i="2"/>
  <c r="G11" i="2"/>
  <c r="F9" i="2"/>
  <c r="G10" i="2"/>
  <c r="H11" i="2"/>
  <c r="G9" i="2"/>
  <c r="H10" i="2"/>
  <c r="I11" i="2"/>
  <c r="G8" i="2"/>
  <c r="I10" i="2"/>
  <c r="J11" i="2"/>
  <c r="H9" i="2"/>
  <c r="I3" i="2"/>
  <c r="J3" i="2"/>
  <c r="F3" i="2"/>
  <c r="K3" i="2" s="1"/>
  <c r="G3" i="2"/>
  <c r="H3" i="2"/>
  <c r="F12" i="2"/>
  <c r="G12" i="2"/>
  <c r="H12" i="2"/>
  <c r="I12" i="2"/>
  <c r="J12" i="2"/>
  <c r="D7" i="2"/>
  <c r="F7" i="2" s="1"/>
  <c r="D5" i="2"/>
  <c r="F5" i="2" s="1"/>
  <c r="D4" i="2"/>
  <c r="F4" i="2" s="1"/>
  <c r="D2" i="2"/>
  <c r="F2" i="2" s="1"/>
  <c r="H2" i="3"/>
  <c r="K9" i="2" l="1"/>
  <c r="K10" i="2"/>
  <c r="K12" i="2"/>
  <c r="G4" i="2"/>
  <c r="J4" i="2"/>
  <c r="H4" i="2"/>
  <c r="I4" i="2"/>
  <c r="G7" i="2"/>
  <c r="H5" i="2"/>
  <c r="J2" i="2"/>
  <c r="G2" i="2"/>
  <c r="I2" i="2"/>
  <c r="G5" i="2"/>
  <c r="H2" i="2"/>
  <c r="J5" i="2"/>
  <c r="I5" i="2"/>
  <c r="J7" i="2"/>
  <c r="I7" i="2"/>
  <c r="H7" i="2"/>
  <c r="K5" i="2" l="1"/>
  <c r="K4" i="2"/>
  <c r="K7" i="2"/>
  <c r="K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AAT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auth </t>
        </r>
        <r>
          <rPr>
            <sz val="9"/>
            <color indexed="81"/>
            <rFont val="細明體"/>
            <family val="3"/>
            <charset val="136"/>
          </rPr>
          <t>無對應的模組(B欄位)
顯示藍色
重複顯示紅色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auth </t>
        </r>
        <r>
          <rPr>
            <sz val="9"/>
            <color indexed="81"/>
            <rFont val="細明體"/>
            <family val="3"/>
            <charset val="136"/>
          </rPr>
          <t>無對應的功能</t>
        </r>
        <r>
          <rPr>
            <sz val="9"/>
            <color indexed="81"/>
            <rFont val="Tahoma"/>
            <family val="2"/>
          </rPr>
          <t>(C</t>
        </r>
        <r>
          <rPr>
            <sz val="9"/>
            <color indexed="81"/>
            <rFont val="細明體"/>
            <family val="3"/>
            <charset val="136"/>
          </rPr>
          <t>欄位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細明體"/>
            <family val="3"/>
            <charset val="136"/>
          </rPr>
          <t>顯示綠色
重複顯示紅色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auth </t>
        </r>
        <r>
          <rPr>
            <sz val="9"/>
            <color indexed="81"/>
            <rFont val="細明體"/>
            <family val="3"/>
            <charset val="136"/>
          </rPr>
          <t>無對應的功能</t>
        </r>
        <r>
          <rPr>
            <sz val="9"/>
            <color indexed="81"/>
            <rFont val="Tahoma"/>
            <family val="2"/>
          </rPr>
          <t>(C</t>
        </r>
        <r>
          <rPr>
            <sz val="9"/>
            <color indexed="81"/>
            <rFont val="細明體"/>
            <family val="3"/>
            <charset val="136"/>
          </rPr>
          <t>欄位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細明體"/>
            <family val="3"/>
            <charset val="136"/>
          </rPr>
          <t>顯示黃色
重複顯示紅色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 nav1, nav2, nav3 自動計算
前端使用的</t>
        </r>
        <r>
          <rPr>
            <sz val="9"/>
            <color indexed="81"/>
            <rFont val="Tahoma"/>
            <family val="2"/>
          </rPr>
          <t xml:space="preserve"> routes </t>
        </r>
        <r>
          <rPr>
            <sz val="9"/>
            <color indexed="81"/>
            <rFont val="細明體"/>
            <family val="3"/>
            <charset val="136"/>
          </rPr>
          <t>使用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</t>
        </r>
        <r>
          <rPr>
            <sz val="9"/>
            <color indexed="81"/>
            <rFont val="Tahoma"/>
            <family val="2"/>
          </rPr>
          <t xml:space="preserve"> auth </t>
        </r>
        <r>
          <rPr>
            <sz val="9"/>
            <color indexed="81"/>
            <rFont val="細明體"/>
            <family val="3"/>
            <charset val="136"/>
          </rPr>
          <t xml:space="preserve">自動計算
</t>
        </r>
        <r>
          <rPr>
            <sz val="9"/>
            <color indexed="81"/>
            <rFont val="Tahoma"/>
            <family val="2"/>
          </rPr>
          <t xml:space="preserve">auth </t>
        </r>
        <r>
          <rPr>
            <sz val="9"/>
            <color indexed="81"/>
            <rFont val="細明體"/>
            <family val="3"/>
            <charset val="136"/>
          </rPr>
          <t>有定義: 1
auth 無定義: 0</t>
        </r>
      </text>
    </comment>
    <comment ref="G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</t>
        </r>
        <r>
          <rPr>
            <sz val="9"/>
            <color indexed="81"/>
            <rFont val="Tahoma"/>
            <family val="2"/>
          </rPr>
          <t xml:space="preserve"> auth </t>
        </r>
        <r>
          <rPr>
            <sz val="9"/>
            <color indexed="81"/>
            <rFont val="細明體"/>
            <family val="3"/>
            <charset val="136"/>
          </rPr>
          <t>自動計算</t>
        </r>
      </text>
    </comment>
    <comment ref="H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</t>
        </r>
        <r>
          <rPr>
            <sz val="9"/>
            <color indexed="81"/>
            <rFont val="Tahoma"/>
            <family val="2"/>
          </rPr>
          <t xml:space="preserve"> auth </t>
        </r>
        <r>
          <rPr>
            <sz val="9"/>
            <color indexed="81"/>
            <rFont val="細明體"/>
            <family val="3"/>
            <charset val="136"/>
          </rPr>
          <t>自動計算</t>
        </r>
      </text>
    </comment>
    <comment ref="I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</t>
        </r>
        <r>
          <rPr>
            <sz val="9"/>
            <color indexed="81"/>
            <rFont val="Tahoma"/>
            <family val="2"/>
          </rPr>
          <t xml:space="preserve"> auth </t>
        </r>
        <r>
          <rPr>
            <sz val="9"/>
            <color indexed="81"/>
            <rFont val="細明體"/>
            <family val="3"/>
            <charset val="136"/>
          </rPr>
          <t>自動計算</t>
        </r>
      </text>
    </comment>
    <comment ref="J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</t>
        </r>
        <r>
          <rPr>
            <sz val="9"/>
            <color indexed="81"/>
            <rFont val="Tahoma"/>
            <family val="2"/>
          </rPr>
          <t xml:space="preserve"> auth </t>
        </r>
        <r>
          <rPr>
            <sz val="9"/>
            <color indexed="81"/>
            <rFont val="細明體"/>
            <family val="3"/>
            <charset val="136"/>
          </rPr>
          <t>自動計算</t>
        </r>
      </text>
    </comment>
    <comment ref="K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</t>
        </r>
        <r>
          <rPr>
            <sz val="9"/>
            <color indexed="81"/>
            <rFont val="Tahoma"/>
            <family val="2"/>
          </rPr>
          <t xml:space="preserve"> auth </t>
        </r>
        <r>
          <rPr>
            <sz val="9"/>
            <color indexed="81"/>
            <rFont val="細明體"/>
            <family val="3"/>
            <charset val="136"/>
          </rPr>
          <t xml:space="preserve">自動計算
</t>
        </r>
        <r>
          <rPr>
            <sz val="9"/>
            <color indexed="81"/>
            <rFont val="Tahoma"/>
            <family val="2"/>
          </rPr>
          <t>auth</t>
        </r>
        <r>
          <rPr>
            <sz val="9"/>
            <color indexed="81"/>
            <rFont val="細明體"/>
            <family val="3"/>
            <charset val="136"/>
          </rPr>
          <t>沒定義: 當作沒限制, 給所有權限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權限有重複造成計算數字錯誤 顯示紫色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預設權限(二進制):
read: 1       1 &lt;&lt; 0
create: 2     1 &lt;&lt; 1
update: 4     1 &lt;&lt; 2
delete: 8     1 &lt;&lt; 3
execute: 16   1 &lt;&lt; 4
</t>
        </r>
      </text>
    </comment>
    <comment ref="L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是否啟用: 預設 TRUE</t>
        </r>
      </text>
    </comment>
    <comment ref="M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是否開發中: 預設 FALSE</t>
        </r>
      </text>
    </comment>
    <comment ref="N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是否維修中: 預設 FALSE</t>
        </r>
      </text>
    </comment>
    <comment ref="O1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是否為主要功能: 首頁點擊模組, 優先使用的功能</t>
        </r>
      </text>
    </comment>
    <comment ref="P1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功能等級: 選單顯示用
Basic: 基礎
Advanced: 進階
Premium: 旗艦</t>
        </r>
      </text>
    </comment>
  </commentList>
</comments>
</file>

<file path=xl/sharedStrings.xml><?xml version="1.0" encoding="utf-8"?>
<sst xmlns="http://schemas.openxmlformats.org/spreadsheetml/2006/main" count="184" uniqueCount="93">
  <si>
    <t>delete</t>
    <phoneticPr fontId="1" type="noConversion"/>
  </si>
  <si>
    <t>execute</t>
    <phoneticPr fontId="1" type="noConversion"/>
  </si>
  <si>
    <t>nav1</t>
    <phoneticPr fontId="1" type="noConversion"/>
  </si>
  <si>
    <t>nav2</t>
    <phoneticPr fontId="1" type="noConversion"/>
  </si>
  <si>
    <t>nav3</t>
    <phoneticPr fontId="1" type="noConversion"/>
  </si>
  <si>
    <t>title</t>
    <phoneticPr fontId="1" type="noConversion"/>
  </si>
  <si>
    <t>isEnabled</t>
    <phoneticPr fontId="1" type="noConversion"/>
  </si>
  <si>
    <t>isInProgress</t>
    <phoneticPr fontId="1" type="noConversion"/>
  </si>
  <si>
    <t>isFix</t>
    <phoneticPr fontId="1" type="noConversion"/>
  </si>
  <si>
    <t>1 &lt;&lt; 0</t>
  </si>
  <si>
    <t>1 &lt;&lt; 2</t>
  </si>
  <si>
    <t>1 &lt;&lt; 3</t>
  </si>
  <si>
    <t>1 &lt;&lt; 4</t>
    <phoneticPr fontId="1" type="noConversion"/>
  </si>
  <si>
    <t>1 &lt;&lt; 1</t>
    <phoneticPr fontId="1" type="noConversion"/>
  </si>
  <si>
    <t>read</t>
  </si>
  <si>
    <t>read</t>
    <phoneticPr fontId="1" type="noConversion"/>
  </si>
  <si>
    <t>create</t>
  </si>
  <si>
    <t>create</t>
    <phoneticPr fontId="1" type="noConversion"/>
  </si>
  <si>
    <t>update</t>
  </si>
  <si>
    <t>update</t>
    <phoneticPr fontId="1" type="noConversion"/>
  </si>
  <si>
    <t>delete</t>
  </si>
  <si>
    <t>execute</t>
  </si>
  <si>
    <t>權限</t>
    <phoneticPr fontId="1" type="noConversion"/>
  </si>
  <si>
    <t>權限值</t>
    <phoneticPr fontId="1" type="noConversion"/>
  </si>
  <si>
    <t>前端計算方式</t>
    <phoneticPr fontId="1" type="noConversion"/>
  </si>
  <si>
    <t>權限總和</t>
    <phoneticPr fontId="1" type="noConversion"/>
  </si>
  <si>
    <t>name</t>
    <phoneticPr fontId="1" type="noConversion"/>
  </si>
  <si>
    <t>系統</t>
  </si>
  <si>
    <t>模組</t>
  </si>
  <si>
    <t>功能</t>
  </si>
  <si>
    <t>add</t>
  </si>
  <si>
    <t>Basic</t>
    <phoneticPr fontId="1" type="noConversion"/>
  </si>
  <si>
    <t>serviceLevels</t>
    <phoneticPr fontId="1" type="noConversion"/>
  </si>
  <si>
    <t>permission</t>
    <phoneticPr fontId="1" type="noConversion"/>
  </si>
  <si>
    <t>isMain</t>
    <phoneticPr fontId="1" type="noConversion"/>
  </si>
  <si>
    <t>nav</t>
    <phoneticPr fontId="1" type="noConversion"/>
  </si>
  <si>
    <t>SYSTEM</t>
    <phoneticPr fontId="1" type="noConversion"/>
  </si>
  <si>
    <t>nav1-1-1</t>
    <phoneticPr fontId="1" type="noConversion"/>
  </si>
  <si>
    <t>nav1-1-2</t>
    <phoneticPr fontId="1" type="noConversion"/>
  </si>
  <si>
    <t>nav1-1-3</t>
  </si>
  <si>
    <t>nav1-1-4</t>
  </si>
  <si>
    <t>nav1-1-5</t>
  </si>
  <si>
    <t>nav1-1-6</t>
  </si>
  <si>
    <t>nav1-1-7</t>
  </si>
  <si>
    <t>nav2</t>
  </si>
  <si>
    <t>nav1</t>
    <phoneticPr fontId="1" type="noConversion"/>
  </si>
  <si>
    <t>產品資訊維護</t>
    <phoneticPr fontId="1" type="noConversion"/>
  </si>
  <si>
    <t>製程資訊維護</t>
    <phoneticPr fontId="1" type="noConversion"/>
  </si>
  <si>
    <t>機台資訊維護</t>
    <phoneticPr fontId="1" type="noConversion"/>
  </si>
  <si>
    <t>工時管理</t>
    <phoneticPr fontId="1" type="noConversion"/>
  </si>
  <si>
    <t>資料維護</t>
    <phoneticPr fontId="1" type="noConversion"/>
  </si>
  <si>
    <t>基本維護</t>
    <phoneticPr fontId="1" type="noConversion"/>
  </si>
  <si>
    <t>nav1</t>
    <phoneticPr fontId="1" type="noConversion"/>
  </si>
  <si>
    <t>nav1-1</t>
    <phoneticPr fontId="1" type="noConversion"/>
  </si>
  <si>
    <t>nav1-2</t>
    <phoneticPr fontId="1" type="noConversion"/>
  </si>
  <si>
    <t>nav1-3</t>
    <phoneticPr fontId="1" type="noConversion"/>
  </si>
  <si>
    <t>nav2-1</t>
    <phoneticPr fontId="1" type="noConversion"/>
  </si>
  <si>
    <t>nav2-2</t>
    <phoneticPr fontId="1" type="noConversion"/>
  </si>
  <si>
    <t>nav2-3</t>
    <phoneticPr fontId="1" type="noConversion"/>
  </si>
  <si>
    <t>nav2-4</t>
    <phoneticPr fontId="1" type="noConversion"/>
  </si>
  <si>
    <t>進階維護</t>
    <phoneticPr fontId="1" type="noConversion"/>
  </si>
  <si>
    <t>規則管理</t>
    <phoneticPr fontId="1" type="noConversion"/>
  </si>
  <si>
    <t>周計畫</t>
    <phoneticPr fontId="1" type="noConversion"/>
  </si>
  <si>
    <t>區域資訊維護</t>
    <phoneticPr fontId="1" type="noConversion"/>
  </si>
  <si>
    <t>nav1-4</t>
    <phoneticPr fontId="1" type="noConversion"/>
  </si>
  <si>
    <t>chart</t>
    <phoneticPr fontId="1" type="noConversion"/>
  </si>
  <si>
    <t>components</t>
    <phoneticPr fontId="1" type="noConversion"/>
  </si>
  <si>
    <t>組件介紹</t>
    <phoneticPr fontId="1" type="noConversion"/>
  </si>
  <si>
    <t>chart1</t>
    <phoneticPr fontId="1" type="noConversion"/>
  </si>
  <si>
    <t>components1</t>
    <phoneticPr fontId="1" type="noConversion"/>
  </si>
  <si>
    <t>柱狀圖</t>
    <phoneticPr fontId="1" type="noConversion"/>
  </si>
  <si>
    <t>chart2</t>
    <phoneticPr fontId="1" type="noConversion"/>
  </si>
  <si>
    <t>圓餅圖</t>
    <phoneticPr fontId="1" type="noConversion"/>
  </si>
  <si>
    <t>甘特圖</t>
    <phoneticPr fontId="1" type="noConversion"/>
  </si>
  <si>
    <t>圖表測試</t>
    <phoneticPr fontId="1" type="noConversion"/>
  </si>
  <si>
    <t>chart3</t>
    <phoneticPr fontId="1" type="noConversion"/>
  </si>
  <si>
    <t>components2</t>
    <phoneticPr fontId="1" type="noConversion"/>
  </si>
  <si>
    <t>components3</t>
    <phoneticPr fontId="1" type="noConversion"/>
  </si>
  <si>
    <t>表格類</t>
    <phoneticPr fontId="1" type="noConversion"/>
  </si>
  <si>
    <t>輸入類</t>
    <phoneticPr fontId="1" type="noConversion"/>
  </si>
  <si>
    <t>一般</t>
    <phoneticPr fontId="1" type="noConversion"/>
  </si>
  <si>
    <t>components1-1</t>
    <phoneticPr fontId="1" type="noConversion"/>
  </si>
  <si>
    <t>components1-2</t>
    <phoneticPr fontId="1" type="noConversion"/>
  </si>
  <si>
    <t>組件1</t>
    <phoneticPr fontId="1" type="noConversion"/>
  </si>
  <si>
    <t>components1-3</t>
    <phoneticPr fontId="1" type="noConversion"/>
  </si>
  <si>
    <t>組件2</t>
  </si>
  <si>
    <t>組件3</t>
  </si>
  <si>
    <t>components2-1</t>
    <phoneticPr fontId="1" type="noConversion"/>
  </si>
  <si>
    <t>components2-2</t>
    <phoneticPr fontId="1" type="noConversion"/>
  </si>
  <si>
    <t>components2-3</t>
    <phoneticPr fontId="1" type="noConversion"/>
  </si>
  <si>
    <t>components3-1</t>
    <phoneticPr fontId="1" type="noConversion"/>
  </si>
  <si>
    <t>components3-2</t>
    <phoneticPr fontId="1" type="noConversion"/>
  </si>
  <si>
    <t>components3-3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</si>
</sst>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color theme="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>
      <alignment vertical="center"/>
    </xf>
    <xf numFmtId="0" fontId="8" fillId="0" borderId="1" xfId="0" applyFont="1" applyBorder="1">
      <alignment vertical="center"/>
    </xf>
  </cellXfs>
  <cellStyles count="1">
    <cellStyle name="一般" xfId="0" builtinId="0"/>
  </cellStyles>
  <dxfs count="31">
    <dxf>
      <fill>
        <patternFill>
          <bgColor rgb="FFCCECFF"/>
        </patternFill>
      </fill>
    </dxf>
    <dxf>
      <fill>
        <patternFill>
          <bgColor rgb="FFCCFF99"/>
        </patternFill>
      </fill>
    </dxf>
    <dxf>
      <fill>
        <patternFill>
          <bgColor rgb="FFCCECFF"/>
        </patternFill>
      </fill>
    </dxf>
    <dxf>
      <fill>
        <patternFill>
          <bgColor rgb="FFCCFF99"/>
        </patternFill>
      </fill>
    </dxf>
    <dxf>
      <fill>
        <patternFill>
          <bgColor rgb="FFCCECFF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CCECFF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CCECFF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CCCCFF"/>
        </patternFill>
      </fill>
    </dxf>
  </dxfs>
  <tableStyles count="0" defaultTableStyle="TableStyleMedium2" defaultPivotStyle="PivotStyleLight16"/>
  <colors>
    <mruColors>
      <color rgb="FFCCCCFF"/>
      <color rgb="FFFF7C80"/>
      <color rgb="FFCCFF99"/>
      <color rgb="FFCCECFF"/>
      <color rgb="FFCCFFFF"/>
      <color rgb="FFFFFF00"/>
      <color rgb="FFFFFF66"/>
      <color rgb="FFFFFF99"/>
      <color rgb="FFFFCC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pane ySplit="1" topLeftCell="A2" activePane="bottomLeft" state="frozen"/>
      <selection pane="bottomLeft" activeCell="C11" sqref="C11"/>
    </sheetView>
  </sheetViews>
  <sheetFormatPr defaultRowHeight="16.5"/>
  <cols>
    <col min="1" max="2" width="11.5" customWidth="1"/>
    <col min="3" max="3" width="17.75" customWidth="1"/>
  </cols>
  <sheetData>
    <row r="1" spans="1:7">
      <c r="A1" t="s">
        <v>27</v>
      </c>
      <c r="B1" t="s">
        <v>28</v>
      </c>
      <c r="C1" t="s">
        <v>29</v>
      </c>
      <c r="D1" t="s">
        <v>30</v>
      </c>
      <c r="E1" t="s">
        <v>18</v>
      </c>
      <c r="F1" t="s">
        <v>20</v>
      </c>
      <c r="G1" t="s">
        <v>21</v>
      </c>
    </row>
    <row r="2" spans="1:7">
      <c r="A2" t="s">
        <v>36</v>
      </c>
      <c r="B2" t="s">
        <v>35</v>
      </c>
      <c r="C2" t="s">
        <v>37</v>
      </c>
      <c r="D2">
        <v>1</v>
      </c>
      <c r="E2">
        <v>1</v>
      </c>
      <c r="F2">
        <v>1</v>
      </c>
      <c r="G2">
        <v>1</v>
      </c>
    </row>
    <row r="3" spans="1:7">
      <c r="A3" t="s">
        <v>36</v>
      </c>
      <c r="B3" t="s">
        <v>35</v>
      </c>
      <c r="C3" t="s">
        <v>38</v>
      </c>
      <c r="D3">
        <v>1</v>
      </c>
      <c r="E3">
        <v>1</v>
      </c>
      <c r="F3">
        <v>1</v>
      </c>
      <c r="G3">
        <v>1</v>
      </c>
    </row>
    <row r="4" spans="1:7">
      <c r="A4" t="s">
        <v>36</v>
      </c>
      <c r="B4" t="s">
        <v>35</v>
      </c>
      <c r="C4" t="s">
        <v>39</v>
      </c>
      <c r="D4">
        <v>1</v>
      </c>
      <c r="E4">
        <v>1</v>
      </c>
      <c r="F4">
        <v>1</v>
      </c>
      <c r="G4">
        <v>1</v>
      </c>
    </row>
    <row r="5" spans="1:7">
      <c r="A5" t="s">
        <v>36</v>
      </c>
      <c r="B5" t="s">
        <v>35</v>
      </c>
      <c r="C5" t="s">
        <v>40</v>
      </c>
      <c r="D5">
        <v>1</v>
      </c>
      <c r="E5">
        <v>1</v>
      </c>
      <c r="F5">
        <v>1</v>
      </c>
      <c r="G5">
        <v>1</v>
      </c>
    </row>
    <row r="6" spans="1:7">
      <c r="A6" t="s">
        <v>36</v>
      </c>
      <c r="B6" t="s">
        <v>35</v>
      </c>
      <c r="C6" t="s">
        <v>41</v>
      </c>
      <c r="D6">
        <v>1</v>
      </c>
      <c r="E6">
        <v>1</v>
      </c>
      <c r="F6">
        <v>1</v>
      </c>
      <c r="G6">
        <v>1</v>
      </c>
    </row>
    <row r="7" spans="1:7">
      <c r="A7" t="s">
        <v>36</v>
      </c>
      <c r="B7" t="s">
        <v>35</v>
      </c>
      <c r="C7" t="s">
        <v>42</v>
      </c>
      <c r="D7">
        <v>1</v>
      </c>
      <c r="E7">
        <v>1</v>
      </c>
      <c r="F7">
        <v>1</v>
      </c>
      <c r="G7">
        <v>1</v>
      </c>
    </row>
    <row r="8" spans="1:7">
      <c r="A8" t="s">
        <v>36</v>
      </c>
      <c r="B8" t="s">
        <v>35</v>
      </c>
      <c r="C8" t="s">
        <v>43</v>
      </c>
      <c r="D8">
        <v>1</v>
      </c>
      <c r="E8">
        <v>1</v>
      </c>
      <c r="F8">
        <v>1</v>
      </c>
      <c r="G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"/>
  <sheetViews>
    <sheetView tabSelected="1" workbookViewId="0">
      <pane ySplit="1" topLeftCell="A2" activePane="bottomLeft" state="frozen"/>
      <selection pane="bottomLeft" activeCell="N19" sqref="N19"/>
    </sheetView>
  </sheetViews>
  <sheetFormatPr defaultRowHeight="16.5"/>
  <cols>
    <col min="1" max="2" width="15.625" customWidth="1"/>
    <col min="3" max="3" width="15.625" style="2" customWidth="1"/>
    <col min="4" max="4" width="18.375" style="2" hidden="1" customWidth="1"/>
    <col min="5" max="5" width="33" customWidth="1"/>
    <col min="6" max="9" width="10.625" hidden="1" customWidth="1"/>
    <col min="10" max="10" width="10.75" hidden="1" customWidth="1"/>
    <col min="11" max="14" width="15.625" customWidth="1"/>
    <col min="15" max="16" width="18.375" bestFit="1" customWidth="1"/>
  </cols>
  <sheetData>
    <row r="1" spans="1:16" s="6" customFormat="1">
      <c r="A1" s="7" t="s">
        <v>2</v>
      </c>
      <c r="B1" s="7" t="s">
        <v>3</v>
      </c>
      <c r="C1" s="7" t="s">
        <v>4</v>
      </c>
      <c r="D1" s="7" t="s">
        <v>26</v>
      </c>
      <c r="E1" s="7" t="s">
        <v>5</v>
      </c>
      <c r="F1" s="7" t="s">
        <v>14</v>
      </c>
      <c r="G1" s="7" t="s">
        <v>16</v>
      </c>
      <c r="H1" s="7" t="s">
        <v>18</v>
      </c>
      <c r="I1" s="7" t="s">
        <v>20</v>
      </c>
      <c r="J1" s="7" t="s">
        <v>21</v>
      </c>
      <c r="K1" s="7" t="s">
        <v>33</v>
      </c>
      <c r="L1" s="7" t="s">
        <v>6</v>
      </c>
      <c r="M1" s="7" t="s">
        <v>7</v>
      </c>
      <c r="N1" s="7" t="s">
        <v>8</v>
      </c>
      <c r="O1" s="7" t="s">
        <v>34</v>
      </c>
      <c r="P1" s="7" t="s">
        <v>32</v>
      </c>
    </row>
    <row r="2" spans="1:16">
      <c r="A2" s="9" t="s">
        <v>35</v>
      </c>
      <c r="B2" s="9"/>
      <c r="C2" s="10"/>
      <c r="D2" s="10" t="str">
        <f t="shared" ref="D2:D29" si="0" xml:space="preserve"> IF(
  AND($B2="", $C2=""),
  $A2,
  IF($C2&lt;&gt;"", $C2, $B2)
)</f>
        <v>nav</v>
      </c>
      <c r="E2" s="9" t="s">
        <v>50</v>
      </c>
      <c r="F2" s="10">
        <f xml:space="preserve"> IF(
  COUNTIF(auth!$C:$C,$D2) &gt; 0,
  permission!$C$2,
  0
)</f>
        <v>0</v>
      </c>
      <c r="G2" s="10">
        <f xml:space="preserve"> SUMIFS(auth!$D:$D, auth!$C:$C, $D2) * permission!$D$2</f>
        <v>0</v>
      </c>
      <c r="H2" s="10">
        <f xml:space="preserve"> SUMIFS(auth!$E:$E, auth!$C:$C, $D2) * permission!$E$2</f>
        <v>0</v>
      </c>
      <c r="I2" s="10">
        <f xml:space="preserve"> SUMIFS(auth!$F:$F, auth!$C:$C, $D2) * permission!$F$2</f>
        <v>0</v>
      </c>
      <c r="J2" s="10">
        <f xml:space="preserve"> SUMIFS(auth!$G:$G, auth!$C:$C, $D2) * permission!$G$2</f>
        <v>0</v>
      </c>
      <c r="K2" s="10">
        <f xml:space="preserve"> IF(
  OR($D2="", $F2=0),
  permission!$H$2,
  SUM($F2:$J2)
)</f>
        <v>31</v>
      </c>
      <c r="L2" s="10"/>
      <c r="M2" s="9"/>
      <c r="N2" s="9"/>
      <c r="O2" s="10"/>
      <c r="P2" s="10" t="s">
        <v>31</v>
      </c>
    </row>
    <row r="3" spans="1:16">
      <c r="A3" s="9" t="s">
        <v>35</v>
      </c>
      <c r="B3" s="9" t="s">
        <v>2</v>
      </c>
      <c r="C3" s="10"/>
      <c r="D3" s="10" t="str">
        <f t="shared" si="0"/>
        <v>nav1</v>
      </c>
      <c r="E3" s="10" t="s">
        <v>51</v>
      </c>
      <c r="F3" s="10">
        <f xml:space="preserve"> IF(
  COUNTIF(auth!$C:$C,$D3) &gt; 0,
  permission!$C$2,
  0
)</f>
        <v>0</v>
      </c>
      <c r="G3" s="10">
        <f xml:space="preserve"> SUMIFS(auth!$D:$D, auth!$C:$C, $D3) * permission!$D$2</f>
        <v>0</v>
      </c>
      <c r="H3" s="10">
        <f xml:space="preserve"> SUMIFS(auth!$E:$E, auth!$C:$C, $D3) * permission!$E$2</f>
        <v>0</v>
      </c>
      <c r="I3" s="10">
        <f xml:space="preserve"> SUMIFS(auth!$F:$F, auth!$C:$C, $D3) * permission!$F$2</f>
        <v>0</v>
      </c>
      <c r="J3" s="10">
        <f xml:space="preserve"> SUMIFS(auth!$G:$G, auth!$C:$C, $D3) * permission!$G$2</f>
        <v>0</v>
      </c>
      <c r="K3" s="10">
        <f xml:space="preserve"> IF(
  OR($D3="", $F3=0),
  permission!$H$2,
  SUM($F3:$J3)
)</f>
        <v>31</v>
      </c>
      <c r="L3" s="9"/>
      <c r="M3" s="9"/>
      <c r="N3" s="9"/>
      <c r="O3" s="10"/>
      <c r="P3" s="10" t="s">
        <v>31</v>
      </c>
    </row>
    <row r="4" spans="1:16">
      <c r="A4" s="9" t="s">
        <v>35</v>
      </c>
      <c r="B4" s="9" t="s">
        <v>2</v>
      </c>
      <c r="C4" s="10" t="s">
        <v>53</v>
      </c>
      <c r="D4" s="10" t="str">
        <f t="shared" si="0"/>
        <v>nav1-1</v>
      </c>
      <c r="E4" s="9" t="s">
        <v>46</v>
      </c>
      <c r="F4" s="10">
        <f xml:space="preserve"> IF(
  COUNTIF(auth!$C:$C,$D4) &gt; 0,
  permission!$C$2,
  0
)</f>
        <v>0</v>
      </c>
      <c r="G4" s="10">
        <f xml:space="preserve"> SUMIFS(auth!$D:$D, auth!$C:$C, $D4) * permission!$D$2</f>
        <v>0</v>
      </c>
      <c r="H4" s="10">
        <f xml:space="preserve"> SUMIFS(auth!$E:$E, auth!$C:$C, $D4) * permission!$E$2</f>
        <v>0</v>
      </c>
      <c r="I4" s="10">
        <f xml:space="preserve"> SUMIFS(auth!$F:$F, auth!$C:$C, $D4) * permission!$F$2</f>
        <v>0</v>
      </c>
      <c r="J4" s="10">
        <f xml:space="preserve"> SUMIFS(auth!$G:$G, auth!$C:$C, $D4) * permission!$G$2</f>
        <v>0</v>
      </c>
      <c r="K4" s="10">
        <f xml:space="preserve"> IF(
  OR($D4="", $F4=0),
  permission!$H$2,
  SUM($F4:$J4)
)</f>
        <v>31</v>
      </c>
      <c r="L4" s="9"/>
      <c r="M4" s="9"/>
      <c r="N4" s="9"/>
      <c r="O4" s="10" t="b">
        <v>1</v>
      </c>
      <c r="P4" s="10" t="s">
        <v>31</v>
      </c>
    </row>
    <row r="5" spans="1:16">
      <c r="A5" s="9" t="s">
        <v>35</v>
      </c>
      <c r="B5" s="9" t="s">
        <v>45</v>
      </c>
      <c r="C5" s="10" t="s">
        <v>54</v>
      </c>
      <c r="D5" s="10" t="str">
        <f t="shared" si="0"/>
        <v>nav1-2</v>
      </c>
      <c r="E5" s="9" t="s">
        <v>47</v>
      </c>
      <c r="F5" s="10">
        <f xml:space="preserve"> IF(
  COUNTIF(auth!$C:$C,$D5) &gt; 0,
  permission!$C$2,
  0
)</f>
        <v>0</v>
      </c>
      <c r="G5" s="10">
        <f xml:space="preserve"> SUMIFS(auth!$D:$D, auth!$C:$C, $D5) * permission!$D$2</f>
        <v>0</v>
      </c>
      <c r="H5" s="10">
        <f xml:space="preserve"> SUMIFS(auth!$E:$E, auth!$C:$C, $D5) * permission!$E$2</f>
        <v>0</v>
      </c>
      <c r="I5" s="10">
        <f xml:space="preserve"> SUMIFS(auth!$F:$F, auth!$C:$C, $D5) * permission!$F$2</f>
        <v>0</v>
      </c>
      <c r="J5" s="10">
        <f xml:space="preserve"> SUMIFS(auth!$G:$G, auth!$C:$C, $D5) * permission!$G$2</f>
        <v>0</v>
      </c>
      <c r="K5" s="10">
        <f xml:space="preserve"> IF(
  OR($D5="", $F5=0),
  permission!$H$2,
  SUM($F5:$J5)
)</f>
        <v>31</v>
      </c>
      <c r="L5" s="9"/>
      <c r="M5" s="9"/>
      <c r="N5" s="9"/>
      <c r="O5" s="10"/>
      <c r="P5" s="10" t="s">
        <v>31</v>
      </c>
    </row>
    <row r="6" spans="1:16">
      <c r="A6" s="9" t="s">
        <v>35</v>
      </c>
      <c r="B6" s="9" t="s">
        <v>52</v>
      </c>
      <c r="C6" s="10" t="s">
        <v>55</v>
      </c>
      <c r="D6" s="10" t="str">
        <f t="shared" si="0"/>
        <v>nav1-3</v>
      </c>
      <c r="E6" s="9" t="s">
        <v>63</v>
      </c>
      <c r="F6" s="10">
        <f xml:space="preserve"> IF(
  COUNTIF(auth!$C:$C,$D6) &gt; 0,
  permission!$C$2,
  0
)</f>
        <v>0</v>
      </c>
      <c r="G6" s="10">
        <f xml:space="preserve"> SUMIFS(auth!$D:$D, auth!$C:$C, $D6) * permission!$D$2</f>
        <v>0</v>
      </c>
      <c r="H6" s="10">
        <f xml:space="preserve"> SUMIFS(auth!$E:$E, auth!$C:$C, $D6) * permission!$E$2</f>
        <v>0</v>
      </c>
      <c r="I6" s="10">
        <f xml:space="preserve"> SUMIFS(auth!$F:$F, auth!$C:$C, $D6) * permission!$F$2</f>
        <v>0</v>
      </c>
      <c r="J6" s="10">
        <f xml:space="preserve"> SUMIFS(auth!$G:$G, auth!$C:$C, $D6) * permission!$G$2</f>
        <v>0</v>
      </c>
      <c r="K6" s="10">
        <f xml:space="preserve"> IF(
  OR($D6="", $F6=0),
  permission!$H$2,
  SUM($F6:$J6)
)</f>
        <v>31</v>
      </c>
      <c r="L6" s="9"/>
      <c r="M6" s="9"/>
      <c r="N6" s="9"/>
      <c r="O6" s="10"/>
      <c r="P6" s="10" t="s">
        <v>31</v>
      </c>
    </row>
    <row r="7" spans="1:16">
      <c r="A7" s="9" t="s">
        <v>35</v>
      </c>
      <c r="B7" s="9" t="s">
        <v>52</v>
      </c>
      <c r="C7" s="10" t="s">
        <v>64</v>
      </c>
      <c r="D7" s="10" t="str">
        <f t="shared" si="0"/>
        <v>nav1-4</v>
      </c>
      <c r="E7" s="9" t="s">
        <v>48</v>
      </c>
      <c r="F7" s="10">
        <f xml:space="preserve"> IF(
  COUNTIF(auth!$C:$C,$D7) &gt; 0,
  permission!$C$2,
  0
)</f>
        <v>0</v>
      </c>
      <c r="G7" s="10">
        <f xml:space="preserve"> SUMIFS(auth!$D:$D, auth!$C:$C, $D7) * permission!$D$2</f>
        <v>0</v>
      </c>
      <c r="H7" s="10">
        <f xml:space="preserve"> SUMIFS(auth!$E:$E, auth!$C:$C, $D7) * permission!$E$2</f>
        <v>0</v>
      </c>
      <c r="I7" s="10">
        <f xml:space="preserve"> SUMIFS(auth!$F:$F, auth!$C:$C, $D7) * permission!$F$2</f>
        <v>0</v>
      </c>
      <c r="J7" s="10">
        <f xml:space="preserve"> SUMIFS(auth!$G:$G, auth!$C:$C, $D7) * permission!$G$2</f>
        <v>0</v>
      </c>
      <c r="K7" s="10">
        <f xml:space="preserve"> IF(
  OR($D7="", $F7=0),
  permission!$H$2,
  SUM($F7:$J7)
)</f>
        <v>31</v>
      </c>
      <c r="L7" s="9"/>
      <c r="M7" s="9"/>
      <c r="N7" s="9"/>
      <c r="O7" s="10"/>
      <c r="P7" s="10" t="s">
        <v>31</v>
      </c>
    </row>
    <row r="8" spans="1:16">
      <c r="A8" s="9" t="s">
        <v>35</v>
      </c>
      <c r="B8" s="9" t="s">
        <v>3</v>
      </c>
      <c r="C8" s="10"/>
      <c r="D8" s="10" t="str">
        <f t="shared" si="0"/>
        <v>nav2</v>
      </c>
      <c r="E8" s="10" t="s">
        <v>60</v>
      </c>
      <c r="F8" s="10">
        <f xml:space="preserve"> IF(
  COUNTIF(auth!$C:$C,$D8) &gt; 0,
  permission!$C$2,
  0
)</f>
        <v>0</v>
      </c>
      <c r="G8" s="10">
        <f xml:space="preserve"> SUMIFS(auth!$D:$D, auth!$C:$C, $D8) * permission!$D$2</f>
        <v>0</v>
      </c>
      <c r="H8" s="10">
        <f xml:space="preserve"> SUMIFS(auth!$E:$E, auth!$C:$C, $D8) * permission!$E$2</f>
        <v>0</v>
      </c>
      <c r="I8" s="10">
        <f xml:space="preserve"> SUMIFS(auth!$F:$F, auth!$C:$C, $D8) * permission!$F$2</f>
        <v>0</v>
      </c>
      <c r="J8" s="10">
        <f xml:space="preserve"> SUMIFS(auth!$G:$G, auth!$C:$C, $D8) * permission!$G$2</f>
        <v>0</v>
      </c>
      <c r="K8" s="10">
        <f xml:space="preserve"> IF(
  OR($D8="", $F8=0),
  permission!$H$2,
  SUM($F8:$J8)
)</f>
        <v>31</v>
      </c>
      <c r="L8" s="9"/>
      <c r="M8" s="9"/>
      <c r="N8" s="9"/>
      <c r="O8" s="10"/>
      <c r="P8" s="10" t="s">
        <v>31</v>
      </c>
    </row>
    <row r="9" spans="1:16">
      <c r="A9" s="9" t="s">
        <v>35</v>
      </c>
      <c r="B9" s="9" t="s">
        <v>3</v>
      </c>
      <c r="C9" s="10" t="s">
        <v>56</v>
      </c>
      <c r="D9" s="10" t="str">
        <f t="shared" si="0"/>
        <v>nav2-1</v>
      </c>
      <c r="E9" s="9" t="s">
        <v>49</v>
      </c>
      <c r="F9" s="10">
        <f xml:space="preserve"> IF(
  COUNTIF(auth!$C:$C,$D9) &gt; 0,
  permission!$C$2,
  0
)</f>
        <v>0</v>
      </c>
      <c r="G9" s="10">
        <f xml:space="preserve"> SUMIFS(auth!$D:$D, auth!$C:$C, $D9) * permission!$D$2</f>
        <v>0</v>
      </c>
      <c r="H9" s="10">
        <f xml:space="preserve"> SUMIFS(auth!$E:$E, auth!$C:$C, $D9) * permission!$E$2</f>
        <v>0</v>
      </c>
      <c r="I9" s="10">
        <f xml:space="preserve"> SUMIFS(auth!$F:$F, auth!$C:$C, $D9) * permission!$F$2</f>
        <v>0</v>
      </c>
      <c r="J9" s="10">
        <f xml:space="preserve"> SUMIFS(auth!$G:$G, auth!$C:$C, $D9) * permission!$G$2</f>
        <v>0</v>
      </c>
      <c r="K9" s="10">
        <f xml:space="preserve"> IF(
  OR($D9="", $F9=0),
  permission!$H$2,
  SUM($F9:$J9)
)</f>
        <v>31</v>
      </c>
      <c r="L9" s="9"/>
      <c r="M9" s="9"/>
      <c r="N9" s="9"/>
      <c r="O9" s="10" t="b">
        <v>1</v>
      </c>
      <c r="P9" s="10" t="s">
        <v>31</v>
      </c>
    </row>
    <row r="10" spans="1:16">
      <c r="A10" s="9" t="s">
        <v>35</v>
      </c>
      <c r="B10" s="9" t="s">
        <v>3</v>
      </c>
      <c r="C10" s="10" t="s">
        <v>57</v>
      </c>
      <c r="D10" s="10" t="str">
        <f t="shared" si="0"/>
        <v>nav2-2</v>
      </c>
      <c r="E10" s="9" t="s">
        <v>61</v>
      </c>
      <c r="F10" s="10">
        <f xml:space="preserve"> IF(
  COUNTIF(auth!$C:$C,$D10) &gt; 0,
  permission!$C$2,
  0
)</f>
        <v>0</v>
      </c>
      <c r="G10" s="10">
        <f xml:space="preserve"> SUMIFS(auth!$D:$D, auth!$C:$C, $D10) * permission!$D$2</f>
        <v>0</v>
      </c>
      <c r="H10" s="10">
        <f xml:space="preserve"> SUMIFS(auth!$E:$E, auth!$C:$C, $D10) * permission!$E$2</f>
        <v>0</v>
      </c>
      <c r="I10" s="10">
        <f xml:space="preserve"> SUMIFS(auth!$F:$F, auth!$C:$C, $D10) * permission!$F$2</f>
        <v>0</v>
      </c>
      <c r="J10" s="10">
        <f xml:space="preserve"> SUMIFS(auth!$G:$G, auth!$C:$C, $D10) * permission!$G$2</f>
        <v>0</v>
      </c>
      <c r="K10" s="10">
        <f xml:space="preserve"> IF(
  OR($D10="", $F10=0),
  permission!$H$2,
  SUM($F10:$J10)
)</f>
        <v>31</v>
      </c>
      <c r="L10" s="9"/>
      <c r="M10" s="9"/>
      <c r="N10" s="9"/>
      <c r="O10" s="10"/>
      <c r="P10" s="10" t="s">
        <v>31</v>
      </c>
    </row>
    <row r="11" spans="1:16">
      <c r="A11" s="9" t="s">
        <v>35</v>
      </c>
      <c r="B11" s="9" t="s">
        <v>3</v>
      </c>
      <c r="C11" s="10" t="s">
        <v>58</v>
      </c>
      <c r="D11" s="10" t="str">
        <f t="shared" si="0"/>
        <v>nav2-3</v>
      </c>
      <c r="E11" s="9" t="s">
        <v>62</v>
      </c>
      <c r="F11" s="10">
        <f xml:space="preserve"> IF(
  COUNTIF(auth!$C:$C,$D11) &gt; 0,
  permission!$C$2,
  0
)</f>
        <v>0</v>
      </c>
      <c r="G11" s="10">
        <f xml:space="preserve"> SUMIFS(auth!$D:$D, auth!$C:$C, $D11) * permission!$D$2</f>
        <v>0</v>
      </c>
      <c r="H11" s="10">
        <f xml:space="preserve"> SUMIFS(auth!$E:$E, auth!$C:$C, $D11) * permission!$E$2</f>
        <v>0</v>
      </c>
      <c r="I11" s="10">
        <f xml:space="preserve"> SUMIFS(auth!$F:$F, auth!$C:$C, $D11) * permission!$F$2</f>
        <v>0</v>
      </c>
      <c r="J11" s="10">
        <f xml:space="preserve"> SUMIFS(auth!$G:$G, auth!$C:$C, $D11) * permission!$G$2</f>
        <v>0</v>
      </c>
      <c r="K11" s="10">
        <f xml:space="preserve"> IF(
  OR($D11="", $F11=0),
  permission!$H$2,
  SUM($F11:$J11)
)</f>
        <v>31</v>
      </c>
      <c r="L11" s="9"/>
      <c r="M11" s="9"/>
      <c r="N11" s="9"/>
      <c r="O11" s="10"/>
      <c r="P11" s="10" t="s">
        <v>31</v>
      </c>
    </row>
    <row r="12" spans="1:16">
      <c r="A12" s="9" t="s">
        <v>35</v>
      </c>
      <c r="B12" s="9" t="s">
        <v>44</v>
      </c>
      <c r="C12" s="10" t="s">
        <v>59</v>
      </c>
      <c r="D12" s="10" t="str">
        <f t="shared" si="0"/>
        <v>nav2-4</v>
      </c>
      <c r="E12" s="9" t="s">
        <v>49</v>
      </c>
      <c r="F12" s="10">
        <f xml:space="preserve"> IF(
  COUNTIF(auth!$C:$C,$D12) &gt; 0,
  permission!$C$2,
  0
)</f>
        <v>0</v>
      </c>
      <c r="G12" s="10">
        <f xml:space="preserve"> SUMIFS(auth!$D:$D, auth!$C:$C, $D12) * permission!$D$2</f>
        <v>0</v>
      </c>
      <c r="H12" s="10">
        <f xml:space="preserve"> SUMIFS(auth!$E:$E, auth!$C:$C, $D12) * permission!$E$2</f>
        <v>0</v>
      </c>
      <c r="I12" s="10">
        <f xml:space="preserve"> SUMIFS(auth!$F:$F, auth!$C:$C, $D12) * permission!$F$2</f>
        <v>0</v>
      </c>
      <c r="J12" s="10">
        <f xml:space="preserve"> SUMIFS(auth!$G:$G, auth!$C:$C, $D12) * permission!$G$2</f>
        <v>0</v>
      </c>
      <c r="K12" s="10">
        <f xml:space="preserve"> IF(
  OR($D12="", $F12=0),
  permission!$H$2,
  SUM($F12:$J12)
)</f>
        <v>31</v>
      </c>
      <c r="L12" s="9"/>
      <c r="M12" s="9"/>
      <c r="N12" s="9"/>
      <c r="O12" s="10"/>
      <c r="P12" s="10" t="s">
        <v>31</v>
      </c>
    </row>
    <row r="13" spans="1:16">
      <c r="A13" s="9" t="s">
        <v>65</v>
      </c>
      <c r="B13" s="9"/>
      <c r="C13" s="10"/>
      <c r="D13" s="10" t="str">
        <f t="shared" si="0"/>
        <v>chart</v>
      </c>
      <c r="E13" s="10" t="s">
        <v>74</v>
      </c>
      <c r="F13" s="10">
        <f xml:space="preserve"> IF(
  COUNTIF(auth!$C:$C,$D13) &gt; 0,
  permission!$C$2,
  0
)</f>
        <v>0</v>
      </c>
      <c r="G13" s="10">
        <f xml:space="preserve"> SUMIFS(auth!$D:$D, auth!$C:$C, $D13) * permission!$D$2</f>
        <v>0</v>
      </c>
      <c r="H13" s="10">
        <f xml:space="preserve"> SUMIFS(auth!$E:$E, auth!$C:$C, $D13) * permission!$E$2</f>
        <v>0</v>
      </c>
      <c r="I13" s="10">
        <f xml:space="preserve"> SUMIFS(auth!$F:$F, auth!$C:$C, $D13) * permission!$F$2</f>
        <v>0</v>
      </c>
      <c r="J13" s="10">
        <f xml:space="preserve"> SUMIFS(auth!$G:$G, auth!$C:$C, $D13) * permission!$G$2</f>
        <v>0</v>
      </c>
      <c r="K13" s="10">
        <f xml:space="preserve"> IF(
  OR($D13="", $F13=0),
  permission!$H$2,
  SUM($F13:$J13)
)</f>
        <v>31</v>
      </c>
      <c r="L13" s="9"/>
      <c r="M13" s="9"/>
      <c r="N13" s="9"/>
      <c r="O13" s="10"/>
      <c r="P13" s="10" t="s">
        <v>31</v>
      </c>
    </row>
    <row r="14" spans="1:16">
      <c r="A14" s="9" t="s">
        <v>65</v>
      </c>
      <c r="B14" s="9" t="s">
        <v>68</v>
      </c>
      <c r="C14" s="10"/>
      <c r="D14" s="10" t="str">
        <f t="shared" si="0"/>
        <v>chart1</v>
      </c>
      <c r="E14" s="10" t="s">
        <v>70</v>
      </c>
      <c r="F14" s="10">
        <f xml:space="preserve"> IF(
  COUNTIF(auth!$C:$C,$D14) &gt; 0,
  permission!$C$2,
  0
)</f>
        <v>0</v>
      </c>
      <c r="G14" s="10">
        <f xml:space="preserve"> SUMIFS(auth!$D:$D, auth!$C:$C, $D14) * permission!$D$2</f>
        <v>0</v>
      </c>
      <c r="H14" s="10">
        <f xml:space="preserve"> SUMIFS(auth!$E:$E, auth!$C:$C, $D14) * permission!$E$2</f>
        <v>0</v>
      </c>
      <c r="I14" s="10">
        <f xml:space="preserve"> SUMIFS(auth!$F:$F, auth!$C:$C, $D14) * permission!$F$2</f>
        <v>0</v>
      </c>
      <c r="J14" s="10">
        <f xml:space="preserve"> SUMIFS(auth!$G:$G, auth!$C:$C, $D14) * permission!$G$2</f>
        <v>0</v>
      </c>
      <c r="K14" s="10">
        <f xml:space="preserve"> IF(
  OR($D14="", $F14=0),
  permission!$H$2,
  SUM($F14:$J14)
)</f>
        <v>31</v>
      </c>
      <c r="L14" s="9"/>
      <c r="M14" s="9"/>
      <c r="N14" s="9"/>
      <c r="O14" s="10"/>
      <c r="P14" s="10" t="s">
        <v>31</v>
      </c>
    </row>
    <row r="15" spans="1:16">
      <c r="A15" s="9" t="s">
        <v>65</v>
      </c>
      <c r="B15" s="9" t="s">
        <v>71</v>
      </c>
      <c r="C15" s="10"/>
      <c r="D15" s="10" t="str">
        <f t="shared" si="0"/>
        <v>chart2</v>
      </c>
      <c r="E15" s="10" t="s">
        <v>72</v>
      </c>
      <c r="F15" s="10">
        <f xml:space="preserve"> IF(
  COUNTIF(auth!$C:$C,$D15) &gt; 0,
  permission!$C$2,
  0
)</f>
        <v>0</v>
      </c>
      <c r="G15" s="10">
        <f xml:space="preserve"> SUMIFS(auth!$D:$D, auth!$C:$C, $D15) * permission!$D$2</f>
        <v>0</v>
      </c>
      <c r="H15" s="10">
        <f xml:space="preserve"> SUMIFS(auth!$E:$E, auth!$C:$C, $D15) * permission!$E$2</f>
        <v>0</v>
      </c>
      <c r="I15" s="10">
        <f xml:space="preserve"> SUMIFS(auth!$F:$F, auth!$C:$C, $D15) * permission!$F$2</f>
        <v>0</v>
      </c>
      <c r="J15" s="10">
        <f xml:space="preserve"> SUMIFS(auth!$G:$G, auth!$C:$C, $D15) * permission!$G$2</f>
        <v>0</v>
      </c>
      <c r="K15" s="10">
        <f xml:space="preserve"> IF(
  OR($D15="", $F15=0),
  permission!$H$2,
  SUM($F15:$J15)
)</f>
        <v>31</v>
      </c>
      <c r="L15" s="9"/>
      <c r="M15" s="9"/>
      <c r="N15" s="9"/>
      <c r="O15" s="10"/>
      <c r="P15" s="10" t="s">
        <v>31</v>
      </c>
    </row>
    <row r="16" spans="1:16">
      <c r="A16" s="9" t="s">
        <v>65</v>
      </c>
      <c r="B16" s="9" t="s">
        <v>75</v>
      </c>
      <c r="C16" s="10"/>
      <c r="D16" s="10" t="str">
        <f t="shared" si="0"/>
        <v>chart3</v>
      </c>
      <c r="E16" s="10" t="s">
        <v>73</v>
      </c>
      <c r="F16" s="10">
        <f xml:space="preserve"> IF(
  COUNTIF(auth!$C:$C,$D16) &gt; 0,
  permission!$C$2,
  0
)</f>
        <v>0</v>
      </c>
      <c r="G16" s="10">
        <f xml:space="preserve"> SUMIFS(auth!$D:$D, auth!$C:$C, $D16) * permission!$D$2</f>
        <v>0</v>
      </c>
      <c r="H16" s="10">
        <f xml:space="preserve"> SUMIFS(auth!$E:$E, auth!$C:$C, $D16) * permission!$E$2</f>
        <v>0</v>
      </c>
      <c r="I16" s="10">
        <f xml:space="preserve"> SUMIFS(auth!$F:$F, auth!$C:$C, $D16) * permission!$F$2</f>
        <v>0</v>
      </c>
      <c r="J16" s="10">
        <f xml:space="preserve"> SUMIFS(auth!$G:$G, auth!$C:$C, $D16) * permission!$G$2</f>
        <v>0</v>
      </c>
      <c r="K16" s="10">
        <f xml:space="preserve"> IF(
  OR($D16="", $F16=0),
  permission!$H$2,
  SUM($F16:$J16)
)</f>
        <v>31</v>
      </c>
      <c r="L16" s="9"/>
      <c r="M16" s="9"/>
      <c r="N16" s="9"/>
      <c r="O16" s="10"/>
      <c r="P16" s="10" t="s">
        <v>31</v>
      </c>
    </row>
    <row r="17" spans="1:16">
      <c r="A17" s="9" t="s">
        <v>66</v>
      </c>
      <c r="B17" s="9"/>
      <c r="C17" s="10"/>
      <c r="D17" s="10" t="str">
        <f t="shared" si="0"/>
        <v>components</v>
      </c>
      <c r="E17" s="10" t="s">
        <v>67</v>
      </c>
      <c r="F17" s="10">
        <f xml:space="preserve"> IF(
  COUNTIF(auth!$C:$C,$D17) &gt; 0,
  permission!$C$2,
  0
)</f>
        <v>0</v>
      </c>
      <c r="G17" s="10">
        <f xml:space="preserve"> SUMIFS(auth!$D:$D, auth!$C:$C, $D17) * permission!$D$2</f>
        <v>0</v>
      </c>
      <c r="H17" s="10">
        <f xml:space="preserve"> SUMIFS(auth!$E:$E, auth!$C:$C, $D17) * permission!$E$2</f>
        <v>0</v>
      </c>
      <c r="I17" s="10">
        <f xml:space="preserve"> SUMIFS(auth!$F:$F, auth!$C:$C, $D17) * permission!$F$2</f>
        <v>0</v>
      </c>
      <c r="J17" s="10">
        <f xml:space="preserve"> SUMIFS(auth!$G:$G, auth!$C:$C, $D17) * permission!$G$2</f>
        <v>0</v>
      </c>
      <c r="K17" s="10">
        <f xml:space="preserve"> IF(
  OR($D17="", $F17=0),
  permission!$H$2,
  SUM($F17:$J17)
)</f>
        <v>31</v>
      </c>
      <c r="L17" s="9"/>
      <c r="M17" s="9"/>
      <c r="N17" s="9"/>
      <c r="O17" s="10"/>
      <c r="P17" s="10" t="s">
        <v>31</v>
      </c>
    </row>
    <row r="18" spans="1:16">
      <c r="A18" s="9" t="s">
        <v>66</v>
      </c>
      <c r="B18" s="9" t="s">
        <v>69</v>
      </c>
      <c r="C18" s="10"/>
      <c r="D18" s="10" t="str">
        <f t="shared" si="0"/>
        <v>components1</v>
      </c>
      <c r="E18" s="10" t="s">
        <v>80</v>
      </c>
      <c r="F18" s="10">
        <f xml:space="preserve"> IF(
  COUNTIF(auth!$C:$C,$D18) &gt; 0,
  permission!$C$2,
  0
)</f>
        <v>0</v>
      </c>
      <c r="G18" s="10">
        <f xml:space="preserve"> SUMIFS(auth!$D:$D, auth!$C:$C, $D18) * permission!$D$2</f>
        <v>0</v>
      </c>
      <c r="H18" s="10">
        <f xml:space="preserve"> SUMIFS(auth!$E:$E, auth!$C:$C, $D18) * permission!$E$2</f>
        <v>0</v>
      </c>
      <c r="I18" s="10">
        <f xml:space="preserve"> SUMIFS(auth!$F:$F, auth!$C:$C, $D18) * permission!$F$2</f>
        <v>0</v>
      </c>
      <c r="J18" s="10">
        <f xml:space="preserve"> SUMIFS(auth!$G:$G, auth!$C:$C, $D18) * permission!$G$2</f>
        <v>0</v>
      </c>
      <c r="K18" s="10">
        <f xml:space="preserve"> IF(
  OR($D18="", $F18=0),
  permission!$H$2,
  SUM($F18:$J18)
)</f>
        <v>31</v>
      </c>
      <c r="L18" s="9"/>
      <c r="M18" s="9"/>
      <c r="N18" s="9"/>
      <c r="O18" s="10"/>
      <c r="P18" s="10" t="s">
        <v>31</v>
      </c>
    </row>
    <row r="19" spans="1:16">
      <c r="A19" s="9" t="s">
        <v>66</v>
      </c>
      <c r="B19" s="9" t="s">
        <v>69</v>
      </c>
      <c r="C19" s="9" t="s">
        <v>81</v>
      </c>
      <c r="D19" s="10" t="str">
        <f t="shared" si="0"/>
        <v>components1-1</v>
      </c>
      <c r="E19" s="10" t="s">
        <v>83</v>
      </c>
      <c r="F19" s="10">
        <f xml:space="preserve"> IF(
  COUNTIF(auth!$C:$C,$D19) &gt; 0,
  permission!$C$2,
  0
)</f>
        <v>0</v>
      </c>
      <c r="G19" s="10">
        <f xml:space="preserve"> SUMIFS(auth!$D:$D, auth!$C:$C, $D19) * permission!$D$2</f>
        <v>0</v>
      </c>
      <c r="H19" s="10">
        <f xml:space="preserve"> SUMIFS(auth!$E:$E, auth!$C:$C, $D19) * permission!$E$2</f>
        <v>0</v>
      </c>
      <c r="I19" s="10">
        <f xml:space="preserve"> SUMIFS(auth!$F:$F, auth!$C:$C, $D19) * permission!$F$2</f>
        <v>0</v>
      </c>
      <c r="J19" s="10">
        <f xml:space="preserve"> SUMIFS(auth!$G:$G, auth!$C:$C, $D19) * permission!$G$2</f>
        <v>0</v>
      </c>
      <c r="K19" s="10">
        <f xml:space="preserve"> IF(
  OR($D19="", $F19=0),
  permission!$H$2,
  SUM($F19:$J19)
)</f>
        <v>31</v>
      </c>
      <c r="L19" s="9"/>
      <c r="M19" s="9"/>
      <c r="N19" s="9"/>
      <c r="O19" s="10"/>
      <c r="P19" s="10" t="s">
        <v>31</v>
      </c>
    </row>
    <row r="20" spans="1:16">
      <c r="A20" s="9" t="s">
        <v>66</v>
      </c>
      <c r="B20" s="9" t="s">
        <v>69</v>
      </c>
      <c r="C20" s="9" t="s">
        <v>82</v>
      </c>
      <c r="D20" s="10" t="str">
        <f t="shared" si="0"/>
        <v>components1-2</v>
      </c>
      <c r="E20" s="10" t="s">
        <v>85</v>
      </c>
      <c r="F20" s="10">
        <f xml:space="preserve"> IF(
  COUNTIF(auth!$C:$C,$D20) &gt; 0,
  permission!$C$2,
  0
)</f>
        <v>0</v>
      </c>
      <c r="G20" s="10">
        <f xml:space="preserve"> SUMIFS(auth!$D:$D, auth!$C:$C, $D20) * permission!$D$2</f>
        <v>0</v>
      </c>
      <c r="H20" s="10">
        <f xml:space="preserve"> SUMIFS(auth!$E:$E, auth!$C:$C, $D20) * permission!$E$2</f>
        <v>0</v>
      </c>
      <c r="I20" s="10">
        <f xml:space="preserve"> SUMIFS(auth!$F:$F, auth!$C:$C, $D20) * permission!$F$2</f>
        <v>0</v>
      </c>
      <c r="J20" s="10">
        <f xml:space="preserve"> SUMIFS(auth!$G:$G, auth!$C:$C, $D20) * permission!$G$2</f>
        <v>0</v>
      </c>
      <c r="K20" s="10">
        <f xml:space="preserve"> IF(
  OR($D20="", $F20=0),
  permission!$H$2,
  SUM($F20:$J20)
)</f>
        <v>31</v>
      </c>
      <c r="L20" s="9"/>
      <c r="M20" s="9"/>
      <c r="N20" s="9"/>
      <c r="O20" s="10"/>
      <c r="P20" s="10" t="s">
        <v>31</v>
      </c>
    </row>
    <row r="21" spans="1:16">
      <c r="A21" s="9" t="s">
        <v>66</v>
      </c>
      <c r="B21" s="9" t="s">
        <v>69</v>
      </c>
      <c r="C21" s="9" t="s">
        <v>84</v>
      </c>
      <c r="D21" s="10" t="str">
        <f t="shared" si="0"/>
        <v>components1-3</v>
      </c>
      <c r="E21" s="10" t="s">
        <v>86</v>
      </c>
      <c r="F21" s="10">
        <f xml:space="preserve"> IF(
  COUNTIF(auth!$C:$C,$D21) &gt; 0,
  permission!$C$2,
  0
)</f>
        <v>0</v>
      </c>
      <c r="G21" s="10">
        <f xml:space="preserve"> SUMIFS(auth!$D:$D, auth!$C:$C, $D21) * permission!$D$2</f>
        <v>0</v>
      </c>
      <c r="H21" s="10">
        <f xml:space="preserve"> SUMIFS(auth!$E:$E, auth!$C:$C, $D21) * permission!$E$2</f>
        <v>0</v>
      </c>
      <c r="I21" s="10">
        <f xml:space="preserve"> SUMIFS(auth!$F:$F, auth!$C:$C, $D21) * permission!$F$2</f>
        <v>0</v>
      </c>
      <c r="J21" s="10">
        <f xml:space="preserve"> SUMIFS(auth!$G:$G, auth!$C:$C, $D21) * permission!$G$2</f>
        <v>0</v>
      </c>
      <c r="K21" s="10">
        <f xml:space="preserve"> IF(
  OR($D21="", $F21=0),
  permission!$H$2,
  SUM($F21:$J21)
)</f>
        <v>31</v>
      </c>
      <c r="L21" s="9"/>
      <c r="M21" s="9"/>
      <c r="N21" s="9"/>
      <c r="O21" s="10"/>
      <c r="P21" s="10" t="s">
        <v>31</v>
      </c>
    </row>
    <row r="22" spans="1:16">
      <c r="A22" s="9" t="s">
        <v>66</v>
      </c>
      <c r="B22" s="9" t="s">
        <v>76</v>
      </c>
      <c r="C22" s="10"/>
      <c r="D22" s="10" t="str">
        <f t="shared" si="0"/>
        <v>components2</v>
      </c>
      <c r="E22" s="10" t="s">
        <v>79</v>
      </c>
      <c r="F22" s="10">
        <f xml:space="preserve"> IF(
  COUNTIF(auth!$C:$C,$D22) &gt; 0,
  permission!$C$2,
  0
)</f>
        <v>0</v>
      </c>
      <c r="G22" s="10">
        <f xml:space="preserve"> SUMIFS(auth!$D:$D, auth!$C:$C, $D22) * permission!$D$2</f>
        <v>0</v>
      </c>
      <c r="H22" s="10">
        <f xml:space="preserve"> SUMIFS(auth!$E:$E, auth!$C:$C, $D22) * permission!$E$2</f>
        <v>0</v>
      </c>
      <c r="I22" s="10">
        <f xml:space="preserve"> SUMIFS(auth!$F:$F, auth!$C:$C, $D22) * permission!$F$2</f>
        <v>0</v>
      </c>
      <c r="J22" s="10">
        <f xml:space="preserve"> SUMIFS(auth!$G:$G, auth!$C:$C, $D22) * permission!$G$2</f>
        <v>0</v>
      </c>
      <c r="K22" s="10">
        <f xml:space="preserve"> IF(
  OR($D22="", $F22=0),
  permission!$H$2,
  SUM($F22:$J22)
)</f>
        <v>31</v>
      </c>
      <c r="L22" s="9"/>
      <c r="M22" s="9"/>
      <c r="N22" s="9"/>
      <c r="O22" s="10"/>
      <c r="P22" s="10" t="s">
        <v>31</v>
      </c>
    </row>
    <row r="23" spans="1:16">
      <c r="A23" s="9" t="s">
        <v>66</v>
      </c>
      <c r="B23" s="9" t="s">
        <v>76</v>
      </c>
      <c r="C23" s="9" t="s">
        <v>87</v>
      </c>
      <c r="D23" s="10" t="str">
        <f t="shared" si="0"/>
        <v>components2-1</v>
      </c>
      <c r="E23" s="10" t="s">
        <v>83</v>
      </c>
      <c r="F23" s="10">
        <f xml:space="preserve"> IF(
  COUNTIF(auth!$C:$C,$D23) &gt; 0,
  permission!$C$2,
  0
)</f>
        <v>0</v>
      </c>
      <c r="G23" s="10">
        <f xml:space="preserve"> SUMIFS(auth!$D:$D, auth!$C:$C, $D23) * permission!$D$2</f>
        <v>0</v>
      </c>
      <c r="H23" s="10">
        <f xml:space="preserve"> SUMIFS(auth!$E:$E, auth!$C:$C, $D23) * permission!$E$2</f>
        <v>0</v>
      </c>
      <c r="I23" s="10">
        <f xml:space="preserve"> SUMIFS(auth!$F:$F, auth!$C:$C, $D23) * permission!$F$2</f>
        <v>0</v>
      </c>
      <c r="J23" s="10">
        <f xml:space="preserve"> SUMIFS(auth!$G:$G, auth!$C:$C, $D23) * permission!$G$2</f>
        <v>0</v>
      </c>
      <c r="K23" s="10">
        <f xml:space="preserve"> IF(
  OR($D23="", $F23=0),
  permission!$H$2,
  SUM($F23:$J23)
)</f>
        <v>31</v>
      </c>
      <c r="L23" s="9"/>
      <c r="M23" s="9"/>
      <c r="N23" s="9"/>
      <c r="O23" s="10"/>
      <c r="P23" s="10" t="s">
        <v>31</v>
      </c>
    </row>
    <row r="24" spans="1:16">
      <c r="A24" s="9" t="s">
        <v>66</v>
      </c>
      <c r="B24" s="9" t="s">
        <v>76</v>
      </c>
      <c r="C24" s="9" t="s">
        <v>88</v>
      </c>
      <c r="D24" s="10" t="str">
        <f t="shared" si="0"/>
        <v>components2-2</v>
      </c>
      <c r="E24" s="10" t="s">
        <v>85</v>
      </c>
      <c r="F24" s="10">
        <f xml:space="preserve"> IF(
  COUNTIF(auth!$C:$C,$D24) &gt; 0,
  permission!$C$2,
  0
)</f>
        <v>0</v>
      </c>
      <c r="G24" s="10">
        <f xml:space="preserve"> SUMIFS(auth!$D:$D, auth!$C:$C, $D24) * permission!$D$2</f>
        <v>0</v>
      </c>
      <c r="H24" s="10">
        <f xml:space="preserve"> SUMIFS(auth!$E:$E, auth!$C:$C, $D24) * permission!$E$2</f>
        <v>0</v>
      </c>
      <c r="I24" s="10">
        <f xml:space="preserve"> SUMIFS(auth!$F:$F, auth!$C:$C, $D24) * permission!$F$2</f>
        <v>0</v>
      </c>
      <c r="J24" s="10">
        <f xml:space="preserve"> SUMIFS(auth!$G:$G, auth!$C:$C, $D24) * permission!$G$2</f>
        <v>0</v>
      </c>
      <c r="K24" s="10">
        <f xml:space="preserve"> IF(
  OR($D24="", $F24=0),
  permission!$H$2,
  SUM($F24:$J24)
)</f>
        <v>31</v>
      </c>
      <c r="L24" s="9"/>
      <c r="M24" s="9"/>
      <c r="N24" s="9"/>
      <c r="O24" s="10"/>
      <c r="P24" s="10" t="s">
        <v>31</v>
      </c>
    </row>
    <row r="25" spans="1:16">
      <c r="A25" s="9" t="s">
        <v>66</v>
      </c>
      <c r="B25" s="9" t="s">
        <v>76</v>
      </c>
      <c r="C25" s="9" t="s">
        <v>89</v>
      </c>
      <c r="D25" s="10" t="str">
        <f t="shared" si="0"/>
        <v>components2-3</v>
      </c>
      <c r="E25" s="10" t="s">
        <v>86</v>
      </c>
      <c r="F25" s="10">
        <f xml:space="preserve"> IF(
  COUNTIF(auth!$C:$C,$D25) &gt; 0,
  permission!$C$2,
  0
)</f>
        <v>0</v>
      </c>
      <c r="G25" s="10">
        <f xml:space="preserve"> SUMIFS(auth!$D:$D, auth!$C:$C, $D25) * permission!$D$2</f>
        <v>0</v>
      </c>
      <c r="H25" s="10">
        <f xml:space="preserve"> SUMIFS(auth!$E:$E, auth!$C:$C, $D25) * permission!$E$2</f>
        <v>0</v>
      </c>
      <c r="I25" s="10">
        <f xml:space="preserve"> SUMIFS(auth!$F:$F, auth!$C:$C, $D25) * permission!$F$2</f>
        <v>0</v>
      </c>
      <c r="J25" s="10">
        <f xml:space="preserve"> SUMIFS(auth!$G:$G, auth!$C:$C, $D25) * permission!$G$2</f>
        <v>0</v>
      </c>
      <c r="K25" s="10">
        <f xml:space="preserve"> IF(
  OR($D25="", $F25=0),
  permission!$H$2,
  SUM($F25:$J25)
)</f>
        <v>31</v>
      </c>
      <c r="L25" s="9"/>
      <c r="M25" s="9"/>
      <c r="N25" s="9"/>
      <c r="O25" s="10"/>
      <c r="P25" s="10" t="s">
        <v>31</v>
      </c>
    </row>
    <row r="26" spans="1:16">
      <c r="A26" s="9" t="s">
        <v>66</v>
      </c>
      <c r="B26" s="9" t="s">
        <v>77</v>
      </c>
      <c r="C26" s="10"/>
      <c r="D26" s="10" t="str">
        <f t="shared" si="0"/>
        <v>components3</v>
      </c>
      <c r="E26" s="10" t="s">
        <v>78</v>
      </c>
      <c r="F26" s="10">
        <f xml:space="preserve"> IF(
  COUNTIF(auth!$C:$C,$D26) &gt; 0,
  permission!$C$2,
  0
)</f>
        <v>0</v>
      </c>
      <c r="G26" s="10">
        <f xml:space="preserve"> SUMIFS(auth!$D:$D, auth!$C:$C, $D26) * permission!$D$2</f>
        <v>0</v>
      </c>
      <c r="H26" s="10">
        <f xml:space="preserve"> SUMIFS(auth!$E:$E, auth!$C:$C, $D26) * permission!$E$2</f>
        <v>0</v>
      </c>
      <c r="I26" s="10">
        <f xml:space="preserve"> SUMIFS(auth!$F:$F, auth!$C:$C, $D26) * permission!$F$2</f>
        <v>0</v>
      </c>
      <c r="J26" s="10">
        <f xml:space="preserve"> SUMIFS(auth!$G:$G, auth!$C:$C, $D26) * permission!$G$2</f>
        <v>0</v>
      </c>
      <c r="K26" s="10">
        <f xml:space="preserve"> IF(
  OR($D26="", $F26=0),
  permission!$H$2,
  SUM($F26:$J26)
)</f>
        <v>31</v>
      </c>
      <c r="L26" s="9"/>
      <c r="M26" s="9"/>
      <c r="N26" s="9"/>
      <c r="O26" s="10"/>
      <c r="P26" s="10" t="s">
        <v>31</v>
      </c>
    </row>
    <row r="27" spans="1:16">
      <c r="A27" s="9" t="s">
        <v>66</v>
      </c>
      <c r="B27" s="9" t="s">
        <v>77</v>
      </c>
      <c r="C27" s="9" t="s">
        <v>90</v>
      </c>
      <c r="D27" s="10" t="str">
        <f t="shared" si="0"/>
        <v>components3-1</v>
      </c>
      <c r="E27" s="10" t="s">
        <v>83</v>
      </c>
      <c r="F27" s="10">
        <f xml:space="preserve"> IF(
  COUNTIF(auth!$C:$C,$D27) &gt; 0,
  permission!$C$2,
  0
)</f>
        <v>0</v>
      </c>
      <c r="G27" s="10">
        <f xml:space="preserve"> SUMIFS(auth!$D:$D, auth!$C:$C, $D27) * permission!$D$2</f>
        <v>0</v>
      </c>
      <c r="H27" s="10">
        <f xml:space="preserve"> SUMIFS(auth!$E:$E, auth!$C:$C, $D27) * permission!$E$2</f>
        <v>0</v>
      </c>
      <c r="I27" s="10">
        <f xml:space="preserve"> SUMIFS(auth!$F:$F, auth!$C:$C, $D27) * permission!$F$2</f>
        <v>0</v>
      </c>
      <c r="J27" s="10">
        <f xml:space="preserve"> SUMIFS(auth!$G:$G, auth!$C:$C, $D27) * permission!$G$2</f>
        <v>0</v>
      </c>
      <c r="K27" s="10">
        <f xml:space="preserve"> IF(
  OR($D27="", $F27=0),
  permission!$H$2,
  SUM($F27:$J27)
)</f>
        <v>31</v>
      </c>
      <c r="L27" s="9"/>
      <c r="M27" s="9"/>
      <c r="N27" s="9"/>
      <c r="O27" s="10"/>
      <c r="P27" s="10" t="s">
        <v>31</v>
      </c>
    </row>
    <row r="28" spans="1:16">
      <c r="A28" s="9" t="s">
        <v>66</v>
      </c>
      <c r="B28" s="9" t="s">
        <v>77</v>
      </c>
      <c r="C28" s="9" t="s">
        <v>91</v>
      </c>
      <c r="D28" s="10" t="str">
        <f t="shared" si="0"/>
        <v>components3-2</v>
      </c>
      <c r="E28" s="10" t="s">
        <v>85</v>
      </c>
      <c r="F28" s="10">
        <f xml:space="preserve"> IF(
  COUNTIF(auth!$C:$C,$D28) &gt; 0,
  permission!$C$2,
  0
)</f>
        <v>0</v>
      </c>
      <c r="G28" s="10">
        <f xml:space="preserve"> SUMIFS(auth!$D:$D, auth!$C:$C, $D28) * permission!$D$2</f>
        <v>0</v>
      </c>
      <c r="H28" s="10">
        <f xml:space="preserve"> SUMIFS(auth!$E:$E, auth!$C:$C, $D28) * permission!$E$2</f>
        <v>0</v>
      </c>
      <c r="I28" s="10">
        <f xml:space="preserve"> SUMIFS(auth!$F:$F, auth!$C:$C, $D28) * permission!$F$2</f>
        <v>0</v>
      </c>
      <c r="J28" s="10">
        <f xml:space="preserve"> SUMIFS(auth!$G:$G, auth!$C:$C, $D28) * permission!$G$2</f>
        <v>0</v>
      </c>
      <c r="K28" s="10">
        <f xml:space="preserve"> IF(
  OR($D28="", $F28=0),
  permission!$H$2,
  SUM($F28:$J28)
)</f>
        <v>31</v>
      </c>
      <c r="L28" s="9"/>
      <c r="M28" s="9"/>
      <c r="N28" s="9"/>
      <c r="O28" s="10"/>
      <c r="P28" s="10" t="s">
        <v>31</v>
      </c>
    </row>
    <row r="29" spans="1:16">
      <c r="A29" s="9" t="s">
        <v>66</v>
      </c>
      <c r="B29" s="9" t="s">
        <v>77</v>
      </c>
      <c r="C29" s="9" t="s">
        <v>92</v>
      </c>
      <c r="D29" s="10" t="str">
        <f t="shared" si="0"/>
        <v>components3-3</v>
      </c>
      <c r="E29" s="10" t="s">
        <v>86</v>
      </c>
      <c r="F29" s="10">
        <f xml:space="preserve"> IF(
  COUNTIF(auth!$C:$C,$D29) &gt; 0,
  permission!$C$2,
  0
)</f>
        <v>0</v>
      </c>
      <c r="G29" s="10">
        <f xml:space="preserve"> SUMIFS(auth!$D:$D, auth!$C:$C, $D29) * permission!$D$2</f>
        <v>0</v>
      </c>
      <c r="H29" s="10">
        <f xml:space="preserve"> SUMIFS(auth!$E:$E, auth!$C:$C, $D29) * permission!$E$2</f>
        <v>0</v>
      </c>
      <c r="I29" s="10">
        <f xml:space="preserve"> SUMIFS(auth!$F:$F, auth!$C:$C, $D29) * permission!$F$2</f>
        <v>0</v>
      </c>
      <c r="J29" s="10">
        <f xml:space="preserve"> SUMIFS(auth!$G:$G, auth!$C:$C, $D29) * permission!$G$2</f>
        <v>0</v>
      </c>
      <c r="K29" s="10">
        <f xml:space="preserve"> IF(
  OR($D29="", $F29=0),
  permission!$H$2,
  SUM($F29:$J29)
)</f>
        <v>31</v>
      </c>
      <c r="L29" s="9"/>
      <c r="M29" s="9"/>
      <c r="N29" s="9"/>
      <c r="O29" s="10"/>
      <c r="P29" s="10" t="s">
        <v>31</v>
      </c>
    </row>
  </sheetData>
  <autoFilter ref="A1:P7" xr:uid="{00000000-0009-0000-0000-000001000000}"/>
  <phoneticPr fontId="1" type="noConversion"/>
  <conditionalFormatting sqref="E2">
    <cfRule type="expression" dxfId="29" priority="154">
      <formula>AND($B3="",$C3="",COUNTIFS($A:$A,$A3,$B:$B,"",$C:$C,"")&gt;1)</formula>
    </cfRule>
  </conditionalFormatting>
  <conditionalFormatting sqref="E2">
    <cfRule type="expression" dxfId="28" priority="156">
      <formula>AND($C3="",COUNTIFS($B:$B,$B3,$C:$C,"")&gt;1)</formula>
    </cfRule>
  </conditionalFormatting>
  <conditionalFormatting sqref="E2">
    <cfRule type="expression" dxfId="27" priority="158">
      <formula>COUNTIF($C:$C,$C3)&gt;1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BBEF6D8E-01EC-4C51-A500-BA5832CF55CA}">
            <xm:f>OR($F2&gt;permission!$C$2,$G2&gt;permission!$D$2,$H2&gt;permission!$E$2,$I2&gt;permission!$F$2,$J2&gt;permission!$G$2)</xm:f>
            <x14:dxf>
              <fill>
                <patternFill>
                  <bgColor rgb="FFCCCCFF"/>
                </patternFill>
              </fill>
            </x14:dxf>
          </x14:cfRule>
          <xm:sqref>K2:K29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G1" sqref="C1:G1"/>
    </sheetView>
  </sheetViews>
  <sheetFormatPr defaultRowHeight="16.5"/>
  <cols>
    <col min="8" max="8" width="9.5" bestFit="1" customWidth="1"/>
  </cols>
  <sheetData>
    <row r="1" spans="1:8" ht="20.100000000000001" customHeight="1">
      <c r="A1" s="8" t="s">
        <v>22</v>
      </c>
      <c r="B1" s="8"/>
      <c r="C1" s="5" t="s">
        <v>15</v>
      </c>
      <c r="D1" s="5" t="s">
        <v>17</v>
      </c>
      <c r="E1" s="5" t="s">
        <v>19</v>
      </c>
      <c r="F1" s="5" t="s">
        <v>0</v>
      </c>
      <c r="G1" s="5" t="s">
        <v>1</v>
      </c>
      <c r="H1" s="5" t="s">
        <v>25</v>
      </c>
    </row>
    <row r="2" spans="1:8" ht="20.100000000000001" customHeight="1">
      <c r="A2" s="8" t="s">
        <v>23</v>
      </c>
      <c r="B2" s="8"/>
      <c r="C2" s="5">
        <v>1</v>
      </c>
      <c r="D2" s="5">
        <v>2</v>
      </c>
      <c r="E2" s="5">
        <v>4</v>
      </c>
      <c r="F2" s="5">
        <v>8</v>
      </c>
      <c r="G2" s="5">
        <v>16</v>
      </c>
      <c r="H2" s="3">
        <f>SUM($C2:$G2)</f>
        <v>31</v>
      </c>
    </row>
    <row r="3" spans="1:8" ht="20.100000000000001" customHeight="1">
      <c r="A3" s="8" t="s">
        <v>24</v>
      </c>
      <c r="B3" s="8"/>
      <c r="C3" s="4" t="s">
        <v>9</v>
      </c>
      <c r="D3" s="4" t="s">
        <v>13</v>
      </c>
      <c r="E3" s="4" t="s">
        <v>10</v>
      </c>
      <c r="F3" s="4" t="s">
        <v>11</v>
      </c>
      <c r="G3" s="4" t="s">
        <v>12</v>
      </c>
      <c r="H3" s="1"/>
    </row>
  </sheetData>
  <mergeCells count="3">
    <mergeCell ref="A3:B3"/>
    <mergeCell ref="A2:B2"/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auth</vt:lpstr>
      <vt:lpstr>routes</vt:lpstr>
      <vt:lpstr>permission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AAT-Ting</dc:creator>
  <cp:lastModifiedBy>zhenzhan xie</cp:lastModifiedBy>
  <dcterms:created xsi:type="dcterms:W3CDTF">2022-01-26T07:28:04Z</dcterms:created>
  <dcterms:modified xsi:type="dcterms:W3CDTF">2025-11-13T15:55:29Z</dcterms:modified>
</cp:coreProperties>
</file>