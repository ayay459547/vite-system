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han_project\vite-system\public\router\"/>
    </mc:Choice>
  </mc:AlternateContent>
  <xr:revisionPtr revIDLastSave="0" documentId="13_ncr:1_{AD23A35D-DA20-4126-99A1-8796F5BA6841}" xr6:coauthVersionLast="47" xr6:coauthVersionMax="47" xr10:uidLastSave="{00000000-0000-0000-0000-000000000000}"/>
  <bookViews>
    <workbookView xWindow="22932" yWindow="-108" windowWidth="23256" windowHeight="12576" activeTab="1" xr2:uid="{00000000-000D-0000-FFFF-FFFF00000000}"/>
  </bookViews>
  <sheets>
    <sheet name="auth" sheetId="1" r:id="rId1"/>
    <sheet name="routes" sheetId="2" r:id="rId2"/>
    <sheet name="permission" sheetId="3" r:id="rId3"/>
  </sheets>
  <definedNames>
    <definedName name="_xlnm._FilterDatabase" localSheetId="1" hidden="1">routes!$A$1:$P$17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I2" i="2" s="1"/>
  <c r="D3" i="2"/>
  <c r="F3" i="2" s="1"/>
  <c r="K3" i="2" s="1"/>
  <c r="D4" i="2"/>
  <c r="F4" i="2"/>
  <c r="G4" i="2"/>
  <c r="D5" i="2"/>
  <c r="F5" i="2" s="1"/>
  <c r="D6" i="2"/>
  <c r="F6" i="2" s="1"/>
  <c r="D7" i="2"/>
  <c r="G7" i="2" s="1"/>
  <c r="D8" i="2"/>
  <c r="I8" i="2" s="1"/>
  <c r="F8" i="2"/>
  <c r="K8" i="2" s="1"/>
  <c r="G8" i="2"/>
  <c r="H8" i="2"/>
  <c r="J8" i="2"/>
  <c r="D9" i="2"/>
  <c r="F9" i="2" s="1"/>
  <c r="K9" i="2" s="1"/>
  <c r="H9" i="2"/>
  <c r="I9" i="2"/>
  <c r="J9" i="2"/>
  <c r="D10" i="2"/>
  <c r="I10" i="2"/>
  <c r="J10" i="2"/>
  <c r="D11" i="2"/>
  <c r="F11" i="2" s="1"/>
  <c r="K11" i="2" s="1"/>
  <c r="D12" i="2"/>
  <c r="F12" i="2"/>
  <c r="G12" i="2"/>
  <c r="D13" i="2"/>
  <c r="F13" i="2" s="1"/>
  <c r="H13" i="2"/>
  <c r="G13" i="2" l="1"/>
  <c r="I7" i="2"/>
  <c r="F7" i="2"/>
  <c r="I6" i="2"/>
  <c r="J11" i="2"/>
  <c r="G9" i="2"/>
  <c r="G6" i="2"/>
  <c r="J7" i="2"/>
  <c r="J3" i="2"/>
  <c r="H7" i="2"/>
  <c r="H5" i="2"/>
  <c r="J2" i="2"/>
  <c r="G5" i="2"/>
  <c r="H12" i="2"/>
  <c r="I12" i="2"/>
  <c r="J12" i="2"/>
  <c r="F10" i="2"/>
  <c r="K10" i="2" s="1"/>
  <c r="G10" i="2"/>
  <c r="H10" i="2"/>
  <c r="J6" i="2"/>
  <c r="K6" i="2"/>
  <c r="H4" i="2"/>
  <c r="J4" i="2"/>
  <c r="I4" i="2"/>
  <c r="F2" i="2"/>
  <c r="K2" i="2" s="1"/>
  <c r="H2" i="2"/>
  <c r="G2" i="2"/>
  <c r="K7" i="2"/>
  <c r="I13" i="2"/>
  <c r="J13" i="2"/>
  <c r="K13" i="2"/>
  <c r="G11" i="2"/>
  <c r="H11" i="2"/>
  <c r="I11" i="2"/>
  <c r="I5" i="2"/>
  <c r="K5" i="2"/>
  <c r="J5" i="2"/>
  <c r="G3" i="2"/>
  <c r="I3" i="2"/>
  <c r="H3" i="2"/>
  <c r="K12" i="2"/>
  <c r="H6" i="2"/>
  <c r="K4" i="2"/>
  <c r="D17" i="2"/>
  <c r="F17" i="2" s="1"/>
  <c r="D16" i="2"/>
  <c r="F16" i="2" s="1"/>
  <c r="D15" i="2"/>
  <c r="F15" i="2" s="1"/>
  <c r="D14" i="2"/>
  <c r="F14" i="2" s="1"/>
  <c r="H2" i="3"/>
  <c r="G15" i="2" l="1"/>
  <c r="K15" i="2" s="1"/>
  <c r="J15" i="2"/>
  <c r="H15" i="2"/>
  <c r="I15" i="2"/>
  <c r="G17" i="2"/>
  <c r="K17" i="2" s="1"/>
  <c r="H16" i="2"/>
  <c r="J14" i="2"/>
  <c r="G14" i="2"/>
  <c r="I14" i="2"/>
  <c r="G16" i="2"/>
  <c r="H14" i="2"/>
  <c r="J16" i="2"/>
  <c r="I16" i="2"/>
  <c r="K16" i="2" s="1"/>
  <c r="J17" i="2"/>
  <c r="I17" i="2"/>
  <c r="H17" i="2"/>
  <c r="K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AAT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auth </t>
        </r>
        <r>
          <rPr>
            <sz val="9"/>
            <color indexed="81"/>
            <rFont val="細明體"/>
            <family val="3"/>
            <charset val="136"/>
          </rPr>
          <t>無對應的模組(B欄位)
顯示藍色
重複顯示紅色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auth </t>
        </r>
        <r>
          <rPr>
            <sz val="9"/>
            <color indexed="81"/>
            <rFont val="細明體"/>
            <family val="3"/>
            <charset val="136"/>
          </rPr>
          <t>無對應的功能</t>
        </r>
        <r>
          <rPr>
            <sz val="9"/>
            <color indexed="81"/>
            <rFont val="Tahoma"/>
            <family val="2"/>
          </rPr>
          <t>(C</t>
        </r>
        <r>
          <rPr>
            <sz val="9"/>
            <color indexed="81"/>
            <rFont val="細明體"/>
            <family val="3"/>
            <charset val="136"/>
          </rPr>
          <t>欄位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細明體"/>
            <family val="3"/>
            <charset val="136"/>
          </rPr>
          <t>顯示綠色
重複顯示紅色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auth </t>
        </r>
        <r>
          <rPr>
            <sz val="9"/>
            <color indexed="81"/>
            <rFont val="細明體"/>
            <family val="3"/>
            <charset val="136"/>
          </rPr>
          <t>無對應的功能</t>
        </r>
        <r>
          <rPr>
            <sz val="9"/>
            <color indexed="81"/>
            <rFont val="Tahoma"/>
            <family val="2"/>
          </rPr>
          <t>(C</t>
        </r>
        <r>
          <rPr>
            <sz val="9"/>
            <color indexed="81"/>
            <rFont val="細明體"/>
            <family val="3"/>
            <charset val="136"/>
          </rPr>
          <t>欄位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細明體"/>
            <family val="3"/>
            <charset val="136"/>
          </rPr>
          <t>顯示黃色
重複顯示紅色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 nav1, nav2, nav3 自動計算
前端使用的</t>
        </r>
        <r>
          <rPr>
            <sz val="9"/>
            <color indexed="81"/>
            <rFont val="Tahoma"/>
            <family val="2"/>
          </rPr>
          <t xml:space="preserve"> routes </t>
        </r>
        <r>
          <rPr>
            <sz val="9"/>
            <color indexed="81"/>
            <rFont val="細明體"/>
            <family val="3"/>
            <charset val="136"/>
          </rPr>
          <t>使用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AAT: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重複顯示紅色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 xml:space="preserve">自動計算
</t>
        </r>
        <r>
          <rPr>
            <sz val="9"/>
            <color indexed="81"/>
            <rFont val="Tahoma"/>
            <family val="2"/>
          </rPr>
          <t xml:space="preserve">auth </t>
        </r>
        <r>
          <rPr>
            <sz val="9"/>
            <color indexed="81"/>
            <rFont val="細明體"/>
            <family val="3"/>
            <charset val="136"/>
          </rPr>
          <t>有定義: 1
auth 無定義: 0</t>
        </r>
      </text>
    </comment>
    <comment ref="G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>自動計算</t>
        </r>
      </text>
    </comment>
    <comment ref="H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>自動計算</t>
        </r>
      </text>
    </comment>
    <comment ref="I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>自動計算</t>
        </r>
      </text>
    </comment>
    <comment ref="J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>自動計算</t>
        </r>
      </text>
    </comment>
    <comment ref="K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依據</t>
        </r>
        <r>
          <rPr>
            <sz val="9"/>
            <color indexed="81"/>
            <rFont val="Tahoma"/>
            <family val="2"/>
          </rPr>
          <t xml:space="preserve"> auth </t>
        </r>
        <r>
          <rPr>
            <sz val="9"/>
            <color indexed="81"/>
            <rFont val="細明體"/>
            <family val="3"/>
            <charset val="136"/>
          </rPr>
          <t xml:space="preserve">自動計算
</t>
        </r>
        <r>
          <rPr>
            <sz val="9"/>
            <color indexed="81"/>
            <rFont val="Tahoma"/>
            <family val="2"/>
          </rPr>
          <t>auth</t>
        </r>
        <r>
          <rPr>
            <sz val="9"/>
            <color indexed="81"/>
            <rFont val="細明體"/>
            <family val="3"/>
            <charset val="136"/>
          </rPr>
          <t>沒定義: 當作沒限制, 給所有權限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權限有重複造成計算數字錯誤 顯示紫色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預設權限(二進制):
read: 1       1 &lt;&lt; 0
create: 2     1 &lt;&lt; 1
update: 4     1 &lt;&lt; 2
delete: 8     1 &lt;&lt; 3
execute: 16   1 &lt;&lt; 4
</t>
        </r>
      </text>
    </comment>
    <comment ref="L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是否啟用: 預設 TRUE</t>
        </r>
      </text>
    </comment>
    <comment ref="M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是否開發中: 預設 FALSE</t>
        </r>
      </text>
    </comment>
    <comment ref="N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是否維修中: 預設 FALSE</t>
        </r>
      </text>
    </comment>
    <comment ref="O1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是否為主要功能: 首頁點擊模組, 優先使用的功能</t>
        </r>
      </text>
    </comment>
    <comment ref="P1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功能等級: 選單顯示用
Basic: 基礎
Advanced: 進階
Premium: 旗艦</t>
        </r>
      </text>
    </comment>
  </commentList>
</comments>
</file>

<file path=xl/sharedStrings.xml><?xml version="1.0" encoding="utf-8"?>
<sst xmlns="http://schemas.openxmlformats.org/spreadsheetml/2006/main" count="133" uniqueCount="85">
  <si>
    <t>SECURITY</t>
  </si>
  <si>
    <t>security</t>
  </si>
  <si>
    <t>delete</t>
    <phoneticPr fontId="1" type="noConversion"/>
  </si>
  <si>
    <t>execute</t>
    <phoneticPr fontId="1" type="noConversion"/>
  </si>
  <si>
    <t>nav1</t>
    <phoneticPr fontId="1" type="noConversion"/>
  </si>
  <si>
    <t>nav2</t>
    <phoneticPr fontId="1" type="noConversion"/>
  </si>
  <si>
    <t>nav3</t>
    <phoneticPr fontId="1" type="noConversion"/>
  </si>
  <si>
    <t>title</t>
    <phoneticPr fontId="1" type="noConversion"/>
  </si>
  <si>
    <t>isEnabled</t>
    <phoneticPr fontId="1" type="noConversion"/>
  </si>
  <si>
    <t>isInProgress</t>
    <phoneticPr fontId="1" type="noConversion"/>
  </si>
  <si>
    <t>isFix</t>
    <phoneticPr fontId="1" type="noConversion"/>
  </si>
  <si>
    <t>dmd</t>
    <phoneticPr fontId="1" type="noConversion"/>
  </si>
  <si>
    <t>訂單需求管理</t>
    <phoneticPr fontId="1" type="noConversion"/>
  </si>
  <si>
    <t>dmd</t>
    <phoneticPr fontId="1" type="noConversion"/>
  </si>
  <si>
    <t>基本資訊</t>
    <phoneticPr fontId="1" type="noConversion"/>
  </si>
  <si>
    <t>dmd-1</t>
    <phoneticPr fontId="1" type="noConversion"/>
  </si>
  <si>
    <t>dmd-11</t>
    <phoneticPr fontId="1" type="noConversion"/>
  </si>
  <si>
    <t>dmd-12</t>
    <phoneticPr fontId="1" type="noConversion"/>
  </si>
  <si>
    <t>dmd</t>
    <phoneticPr fontId="1" type="noConversion"/>
  </si>
  <si>
    <t>dmd-13</t>
    <phoneticPr fontId="1" type="noConversion"/>
  </si>
  <si>
    <t>入庫單資訊</t>
    <phoneticPr fontId="1" type="noConversion"/>
  </si>
  <si>
    <t>dmd-2</t>
    <phoneticPr fontId="1" type="noConversion"/>
  </si>
  <si>
    <t>需求管理</t>
    <phoneticPr fontId="1" type="noConversion"/>
  </si>
  <si>
    <t>dmd-21</t>
    <phoneticPr fontId="1" type="noConversion"/>
  </si>
  <si>
    <t>成品庫存與WIP工單分派</t>
    <phoneticPr fontId="1" type="noConversion"/>
  </si>
  <si>
    <t>dmd-3</t>
    <phoneticPr fontId="1" type="noConversion"/>
  </si>
  <si>
    <t>警示</t>
    <phoneticPr fontId="1" type="noConversion"/>
  </si>
  <si>
    <t>dmd-31</t>
    <phoneticPr fontId="1" type="noConversion"/>
  </si>
  <si>
    <t>訂單警示</t>
    <phoneticPr fontId="1" type="noConversion"/>
  </si>
  <si>
    <t>dmd-4</t>
    <phoneticPr fontId="1" type="noConversion"/>
  </si>
  <si>
    <t>報表</t>
    <phoneticPr fontId="1" type="noConversion"/>
  </si>
  <si>
    <t>dmd-41</t>
    <phoneticPr fontId="1" type="noConversion"/>
  </si>
  <si>
    <t>出貨單</t>
    <phoneticPr fontId="1" type="noConversion"/>
  </si>
  <si>
    <t>dmd-4</t>
    <phoneticPr fontId="1" type="noConversion"/>
  </si>
  <si>
    <t>dmd-42</t>
    <phoneticPr fontId="1" type="noConversion"/>
  </si>
  <si>
    <t>訂單達交表</t>
    <phoneticPr fontId="1" type="noConversion"/>
  </si>
  <si>
    <t>dmd-3</t>
    <phoneticPr fontId="1" type="noConversion"/>
  </si>
  <si>
    <t>dmd-1</t>
    <phoneticPr fontId="1" type="noConversion"/>
  </si>
  <si>
    <t>dmd-2</t>
    <phoneticPr fontId="1" type="noConversion"/>
  </si>
  <si>
    <t>1 &lt;&lt; 0</t>
  </si>
  <si>
    <t>1 &lt;&lt; 2</t>
  </si>
  <si>
    <t>1 &lt;&lt; 3</t>
  </si>
  <si>
    <t>1 &lt;&lt; 4</t>
    <phoneticPr fontId="1" type="noConversion"/>
  </si>
  <si>
    <t>1 &lt;&lt; 1</t>
    <phoneticPr fontId="1" type="noConversion"/>
  </si>
  <si>
    <t>read</t>
  </si>
  <si>
    <t>read</t>
    <phoneticPr fontId="1" type="noConversion"/>
  </si>
  <si>
    <t>create</t>
  </si>
  <si>
    <t>create</t>
    <phoneticPr fontId="1" type="noConversion"/>
  </si>
  <si>
    <t>update</t>
  </si>
  <si>
    <t>update</t>
    <phoneticPr fontId="1" type="noConversion"/>
  </si>
  <si>
    <t>delete</t>
  </si>
  <si>
    <t>execute</t>
  </si>
  <si>
    <t>權限</t>
    <phoneticPr fontId="1" type="noConversion"/>
  </si>
  <si>
    <t>權限值</t>
    <phoneticPr fontId="1" type="noConversion"/>
  </si>
  <si>
    <t>前端計算方式</t>
    <phoneticPr fontId="1" type="noConversion"/>
  </si>
  <si>
    <t>權限總和</t>
    <phoneticPr fontId="1" type="noConversion"/>
  </si>
  <si>
    <t>name</t>
    <phoneticPr fontId="1" type="noConversion"/>
  </si>
  <si>
    <t>系統</t>
  </si>
  <si>
    <t>模組</t>
  </si>
  <si>
    <t>功能</t>
  </si>
  <si>
    <t>add</t>
  </si>
  <si>
    <t>Basic</t>
    <phoneticPr fontId="1" type="noConversion"/>
  </si>
  <si>
    <t>serviceLevels</t>
    <phoneticPr fontId="1" type="noConversion"/>
  </si>
  <si>
    <t>permission</t>
    <phoneticPr fontId="1" type="noConversion"/>
  </si>
  <si>
    <t>isMain</t>
    <phoneticPr fontId="1" type="noConversion"/>
  </si>
  <si>
    <t>nav</t>
    <phoneticPr fontId="1" type="noConversion"/>
  </si>
  <si>
    <t>SYSTEM</t>
    <phoneticPr fontId="1" type="noConversion"/>
  </si>
  <si>
    <t>nav1-1-1</t>
    <phoneticPr fontId="1" type="noConversion"/>
  </si>
  <si>
    <t>nav1-1-2</t>
    <phoneticPr fontId="1" type="noConversion"/>
  </si>
  <si>
    <t>nav1-1-3</t>
  </si>
  <si>
    <t>nav1-1-4</t>
  </si>
  <si>
    <t>nav1-1-5</t>
  </si>
  <si>
    <t>nav1-1-6</t>
  </si>
  <si>
    <t>nav1-1-7</t>
  </si>
  <si>
    <t>nav2</t>
  </si>
  <si>
    <t>nav1</t>
    <phoneticPr fontId="1" type="noConversion"/>
  </si>
  <si>
    <t>nav1-1-1</t>
    <phoneticPr fontId="1" type="noConversion"/>
  </si>
  <si>
    <t>nav1-1-2</t>
    <phoneticPr fontId="1" type="noConversion"/>
  </si>
  <si>
    <t>nav1-1-4</t>
    <phoneticPr fontId="1" type="noConversion"/>
  </si>
  <si>
    <t>功能1</t>
  </si>
  <si>
    <t>功能2</t>
  </si>
  <si>
    <t>功能3</t>
  </si>
  <si>
    <t>功能</t>
    <phoneticPr fontId="1" type="noConversion"/>
  </si>
  <si>
    <t>客戶訂單資訊</t>
    <phoneticPr fontId="1" type="noConversion"/>
  </si>
  <si>
    <t>備庫訂單資訊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</si>
</sst>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color theme="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7"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CCECFF"/>
        </patternFill>
      </fill>
    </dxf>
  </dxfs>
  <tableStyles count="0" defaultTableStyle="TableStyleMedium2" defaultPivotStyle="PivotStyleLight16"/>
  <colors>
    <mruColors>
      <color rgb="FFCCCCFF"/>
      <color rgb="FFFF7C80"/>
      <color rgb="FFCCFF99"/>
      <color rgb="FFCCECFF"/>
      <color rgb="FFCCFFFF"/>
      <color rgb="FFFFFF00"/>
      <color rgb="FFFFFF66"/>
      <color rgb="FFFFFF99"/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pane ySplit="1" topLeftCell="A2" activePane="bottomLeft" state="frozen"/>
      <selection pane="bottomLeft" activeCell="C16" sqref="C16"/>
    </sheetView>
  </sheetViews>
  <sheetFormatPr defaultRowHeight="16.5" x14ac:dyDescent="0.25"/>
  <cols>
    <col min="1" max="2" width="11.5" customWidth="1"/>
    <col min="3" max="3" width="17.75" customWidth="1"/>
  </cols>
  <sheetData>
    <row r="1" spans="1:7" x14ac:dyDescent="0.25">
      <c r="A1" t="s">
        <v>57</v>
      </c>
      <c r="B1" t="s">
        <v>58</v>
      </c>
      <c r="C1" t="s">
        <v>59</v>
      </c>
      <c r="D1" t="s">
        <v>60</v>
      </c>
      <c r="E1" t="s">
        <v>48</v>
      </c>
      <c r="F1" t="s">
        <v>50</v>
      </c>
      <c r="G1" t="s">
        <v>51</v>
      </c>
    </row>
    <row r="2" spans="1:7" x14ac:dyDescent="0.25">
      <c r="A2" t="s">
        <v>66</v>
      </c>
      <c r="B2" t="s">
        <v>65</v>
      </c>
      <c r="C2" t="s">
        <v>67</v>
      </c>
      <c r="D2">
        <v>1</v>
      </c>
      <c r="E2">
        <v>1</v>
      </c>
      <c r="F2">
        <v>1</v>
      </c>
      <c r="G2">
        <v>1</v>
      </c>
    </row>
    <row r="3" spans="1:7" x14ac:dyDescent="0.25">
      <c r="A3" t="s">
        <v>66</v>
      </c>
      <c r="B3" t="s">
        <v>65</v>
      </c>
      <c r="C3" t="s">
        <v>68</v>
      </c>
      <c r="D3">
        <v>1</v>
      </c>
      <c r="E3">
        <v>1</v>
      </c>
      <c r="F3">
        <v>1</v>
      </c>
      <c r="G3">
        <v>1</v>
      </c>
    </row>
    <row r="4" spans="1:7" x14ac:dyDescent="0.25">
      <c r="A4" t="s">
        <v>66</v>
      </c>
      <c r="B4" t="s">
        <v>65</v>
      </c>
      <c r="C4" t="s">
        <v>69</v>
      </c>
      <c r="D4">
        <v>1</v>
      </c>
      <c r="E4">
        <v>1</v>
      </c>
      <c r="F4">
        <v>1</v>
      </c>
      <c r="G4">
        <v>1</v>
      </c>
    </row>
    <row r="5" spans="1:7" x14ac:dyDescent="0.25">
      <c r="A5" t="s">
        <v>66</v>
      </c>
      <c r="B5" t="s">
        <v>65</v>
      </c>
      <c r="C5" t="s">
        <v>70</v>
      </c>
      <c r="D5">
        <v>1</v>
      </c>
      <c r="E5">
        <v>1</v>
      </c>
      <c r="F5">
        <v>1</v>
      </c>
      <c r="G5">
        <v>1</v>
      </c>
    </row>
    <row r="6" spans="1:7" x14ac:dyDescent="0.25">
      <c r="A6" t="s">
        <v>66</v>
      </c>
      <c r="B6" t="s">
        <v>65</v>
      </c>
      <c r="C6" t="s">
        <v>71</v>
      </c>
      <c r="D6">
        <v>1</v>
      </c>
      <c r="E6">
        <v>1</v>
      </c>
      <c r="F6">
        <v>1</v>
      </c>
      <c r="G6">
        <v>1</v>
      </c>
    </row>
    <row r="7" spans="1:7" x14ac:dyDescent="0.25">
      <c r="A7" t="s">
        <v>66</v>
      </c>
      <c r="B7" t="s">
        <v>65</v>
      </c>
      <c r="C7" t="s">
        <v>72</v>
      </c>
      <c r="D7">
        <v>1</v>
      </c>
      <c r="E7">
        <v>1</v>
      </c>
      <c r="F7">
        <v>1</v>
      </c>
      <c r="G7">
        <v>1</v>
      </c>
    </row>
    <row r="8" spans="1:7" x14ac:dyDescent="0.25">
      <c r="A8" t="s">
        <v>66</v>
      </c>
      <c r="B8" t="s">
        <v>65</v>
      </c>
      <c r="C8" t="s">
        <v>73</v>
      </c>
      <c r="D8">
        <v>1</v>
      </c>
      <c r="E8">
        <v>1</v>
      </c>
      <c r="F8">
        <v>1</v>
      </c>
      <c r="G8">
        <v>1</v>
      </c>
    </row>
    <row r="9" spans="1:7" x14ac:dyDescent="0.25">
      <c r="A9" t="s">
        <v>0</v>
      </c>
      <c r="B9" t="s">
        <v>1</v>
      </c>
      <c r="C9" t="s">
        <v>1</v>
      </c>
      <c r="D9">
        <v>1</v>
      </c>
      <c r="E9">
        <v>1</v>
      </c>
      <c r="F9">
        <v>1</v>
      </c>
      <c r="G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6.5" x14ac:dyDescent="0.25"/>
  <cols>
    <col min="1" max="2" width="15.625" customWidth="1"/>
    <col min="3" max="3" width="15.625" style="3" customWidth="1"/>
    <col min="4" max="4" width="18.375" style="3" hidden="1" customWidth="1"/>
    <col min="5" max="5" width="33" customWidth="1"/>
    <col min="6" max="9" width="10.625" hidden="1" customWidth="1"/>
    <col min="10" max="10" width="10.75" hidden="1" customWidth="1"/>
    <col min="11" max="14" width="15.625" customWidth="1"/>
    <col min="15" max="16" width="18.375" bestFit="1" customWidth="1"/>
  </cols>
  <sheetData>
    <row r="1" spans="1:16" s="7" customFormat="1" x14ac:dyDescent="0.25">
      <c r="A1" s="8" t="s">
        <v>4</v>
      </c>
      <c r="B1" s="8" t="s">
        <v>5</v>
      </c>
      <c r="C1" s="8" t="s">
        <v>6</v>
      </c>
      <c r="D1" s="8" t="s">
        <v>56</v>
      </c>
      <c r="E1" s="8" t="s">
        <v>7</v>
      </c>
      <c r="F1" s="8" t="s">
        <v>44</v>
      </c>
      <c r="G1" s="8" t="s">
        <v>46</v>
      </c>
      <c r="H1" s="8" t="s">
        <v>48</v>
      </c>
      <c r="I1" s="8" t="s">
        <v>50</v>
      </c>
      <c r="J1" s="8" t="s">
        <v>51</v>
      </c>
      <c r="K1" s="8" t="s">
        <v>63</v>
      </c>
      <c r="L1" s="8" t="s">
        <v>8</v>
      </c>
      <c r="M1" s="8" t="s">
        <v>9</v>
      </c>
      <c r="N1" s="8" t="s">
        <v>10</v>
      </c>
      <c r="O1" s="8" t="s">
        <v>64</v>
      </c>
      <c r="P1" s="8" t="s">
        <v>62</v>
      </c>
    </row>
    <row r="2" spans="1:16" x14ac:dyDescent="0.25">
      <c r="A2" s="1" t="s">
        <v>11</v>
      </c>
      <c r="B2" s="2"/>
      <c r="C2" s="1"/>
      <c r="D2" s="1" t="str">
        <f t="shared" ref="D2:D17" si="0" xml:space="preserve"> IF(
  AND($B2="", $C2=""),
  $A2,
  IF($C2&lt;&gt;"", $C2, $B2)
)</f>
        <v>dmd</v>
      </c>
      <c r="E2" s="2" t="s">
        <v>12</v>
      </c>
      <c r="F2" s="1">
        <f xml:space="preserve"> IF(
  COUNTIF(auth!$C:$C,$D2) &gt; 0,
  permission!$C$2,
  0
)</f>
        <v>0</v>
      </c>
      <c r="G2" s="1">
        <f xml:space="preserve"> SUMIFS(auth!$D:$D, auth!$C:$C, $D2) * permission!$D$2</f>
        <v>0</v>
      </c>
      <c r="H2" s="1">
        <f xml:space="preserve"> SUMIFS(auth!$E:$E, auth!$C:$C, $D2) * permission!$E$2</f>
        <v>0</v>
      </c>
      <c r="I2" s="1">
        <f xml:space="preserve"> SUMIFS(auth!$F:$F, auth!$C:$C, $D2) * permission!$F$2</f>
        <v>0</v>
      </c>
      <c r="J2" s="1">
        <f xml:space="preserve"> SUMIFS(auth!$G:$G, auth!$C:$C, $D2) * permission!$G$2</f>
        <v>0</v>
      </c>
      <c r="K2" s="1">
        <f xml:space="preserve"> IF(
  OR($D2="", $F2=0),
  permission!$H$2,
  SUM($F2:$J2)
)</f>
        <v>31</v>
      </c>
      <c r="L2" s="2" t="b">
        <v>1</v>
      </c>
      <c r="M2" s="2"/>
      <c r="N2" s="2"/>
      <c r="O2" s="1"/>
      <c r="P2" s="1" t="s">
        <v>61</v>
      </c>
    </row>
    <row r="3" spans="1:16" x14ac:dyDescent="0.25">
      <c r="A3" s="1" t="s">
        <v>13</v>
      </c>
      <c r="B3" s="2" t="s">
        <v>37</v>
      </c>
      <c r="C3" s="1"/>
      <c r="D3" s="1" t="str">
        <f t="shared" si="0"/>
        <v>dmd-1</v>
      </c>
      <c r="E3" s="2" t="s">
        <v>14</v>
      </c>
      <c r="F3" s="1">
        <f xml:space="preserve"> IF(
  COUNTIF(auth!$C:$C,$D3) &gt; 0,
  permission!$C$2,
  0
)</f>
        <v>0</v>
      </c>
      <c r="G3" s="1">
        <f xml:space="preserve"> SUMIFS(auth!$D:$D, auth!$C:$C, $D3) * permission!$D$2</f>
        <v>0</v>
      </c>
      <c r="H3" s="1">
        <f xml:space="preserve"> SUMIFS(auth!$E:$E, auth!$C:$C, $D3) * permission!$E$2</f>
        <v>0</v>
      </c>
      <c r="I3" s="1">
        <f xml:space="preserve"> SUMIFS(auth!$F:$F, auth!$C:$C, $D3) * permission!$F$2</f>
        <v>0</v>
      </c>
      <c r="J3" s="1">
        <f xml:space="preserve"> SUMIFS(auth!$G:$G, auth!$C:$C, $D3) * permission!$G$2</f>
        <v>0</v>
      </c>
      <c r="K3" s="1">
        <f xml:space="preserve"> IF(
  OR($D3="", $F3=0),
  permission!$H$2,
  SUM($F3:$J3)
)</f>
        <v>31</v>
      </c>
      <c r="L3" s="2"/>
      <c r="M3" s="2"/>
      <c r="N3" s="2"/>
      <c r="P3" s="1" t="s">
        <v>61</v>
      </c>
    </row>
    <row r="4" spans="1:16" x14ac:dyDescent="0.25">
      <c r="A4" s="1" t="s">
        <v>11</v>
      </c>
      <c r="B4" s="2" t="s">
        <v>15</v>
      </c>
      <c r="C4" s="1" t="s">
        <v>16</v>
      </c>
      <c r="D4" s="1" t="str">
        <f t="shared" si="0"/>
        <v>dmd-11</v>
      </c>
      <c r="E4" s="2" t="s">
        <v>83</v>
      </c>
      <c r="F4" s="1">
        <f xml:space="preserve"> IF(
  COUNTIF(auth!$C:$C,$D4) &gt; 0,
  permission!$C$2,
  0
)</f>
        <v>0</v>
      </c>
      <c r="G4" s="1">
        <f xml:space="preserve"> SUMIFS(auth!$D:$D, auth!$C:$C, $D4) * permission!$D$2</f>
        <v>0</v>
      </c>
      <c r="H4" s="1">
        <f xml:space="preserve"> SUMIFS(auth!$E:$E, auth!$C:$C, $D4) * permission!$E$2</f>
        <v>0</v>
      </c>
      <c r="I4" s="1">
        <f xml:space="preserve"> SUMIFS(auth!$F:$F, auth!$C:$C, $D4) * permission!$F$2</f>
        <v>0</v>
      </c>
      <c r="J4" s="1">
        <f xml:space="preserve"> SUMIFS(auth!$G:$G, auth!$C:$C, $D4) * permission!$G$2</f>
        <v>0</v>
      </c>
      <c r="K4" s="1">
        <f xml:space="preserve"> IF(
  OR($D4="", $F4=0),
  permission!$H$2,
  SUM($F4:$J4)
)</f>
        <v>31</v>
      </c>
      <c r="L4" s="2"/>
      <c r="M4" s="2"/>
      <c r="N4" s="2"/>
      <c r="O4" s="1" t="b">
        <v>1</v>
      </c>
      <c r="P4" s="1" t="s">
        <v>61</v>
      </c>
    </row>
    <row r="5" spans="1:16" x14ac:dyDescent="0.25">
      <c r="A5" s="1" t="s">
        <v>13</v>
      </c>
      <c r="B5" s="2" t="s">
        <v>15</v>
      </c>
      <c r="C5" s="1" t="s">
        <v>17</v>
      </c>
      <c r="D5" s="1" t="str">
        <f t="shared" si="0"/>
        <v>dmd-12</v>
      </c>
      <c r="E5" s="2" t="s">
        <v>84</v>
      </c>
      <c r="F5" s="1">
        <f xml:space="preserve"> IF(
  COUNTIF(auth!$C:$C,$D5) &gt; 0,
  permission!$C$2,
  0
)</f>
        <v>0</v>
      </c>
      <c r="G5" s="1">
        <f xml:space="preserve"> SUMIFS(auth!$D:$D, auth!$C:$C, $D5) * permission!$D$2</f>
        <v>0</v>
      </c>
      <c r="H5" s="1">
        <f xml:space="preserve"> SUMIFS(auth!$E:$E, auth!$C:$C, $D5) * permission!$E$2</f>
        <v>0</v>
      </c>
      <c r="I5" s="1">
        <f xml:space="preserve"> SUMIFS(auth!$F:$F, auth!$C:$C, $D5) * permission!$F$2</f>
        <v>0</v>
      </c>
      <c r="J5" s="1">
        <f xml:space="preserve"> SUMIFS(auth!$G:$G, auth!$C:$C, $D5) * permission!$G$2</f>
        <v>0</v>
      </c>
      <c r="K5" s="1">
        <f xml:space="preserve"> IF(
  OR($D5="", $F5=0),
  permission!$H$2,
  SUM($F5:$J5)
)</f>
        <v>31</v>
      </c>
      <c r="L5" s="2"/>
      <c r="M5" s="2"/>
      <c r="N5" s="2"/>
      <c r="O5" s="1"/>
      <c r="P5" s="1" t="s">
        <v>61</v>
      </c>
    </row>
    <row r="6" spans="1:16" x14ac:dyDescent="0.25">
      <c r="A6" s="1" t="s">
        <v>18</v>
      </c>
      <c r="B6" s="2" t="s">
        <v>15</v>
      </c>
      <c r="C6" s="1" t="s">
        <v>19</v>
      </c>
      <c r="D6" s="1" t="str">
        <f t="shared" si="0"/>
        <v>dmd-13</v>
      </c>
      <c r="E6" s="2" t="s">
        <v>20</v>
      </c>
      <c r="F6" s="1">
        <f xml:space="preserve"> IF(
  COUNTIF(auth!$C:$C,$D6) &gt; 0,
  permission!$C$2,
  0
)</f>
        <v>0</v>
      </c>
      <c r="G6" s="1">
        <f xml:space="preserve"> SUMIFS(auth!$D:$D, auth!$C:$C, $D6) * permission!$D$2</f>
        <v>0</v>
      </c>
      <c r="H6" s="1">
        <f xml:space="preserve"> SUMIFS(auth!$E:$E, auth!$C:$C, $D6) * permission!$E$2</f>
        <v>0</v>
      </c>
      <c r="I6" s="1">
        <f xml:space="preserve"> SUMIFS(auth!$F:$F, auth!$C:$C, $D6) * permission!$F$2</f>
        <v>0</v>
      </c>
      <c r="J6" s="1">
        <f xml:space="preserve"> SUMIFS(auth!$G:$G, auth!$C:$C, $D6) * permission!$G$2</f>
        <v>0</v>
      </c>
      <c r="K6" s="1">
        <f xml:space="preserve"> IF(
  OR($D6="", $F6=0),
  permission!$H$2,
  SUM($F6:$J6)
)</f>
        <v>31</v>
      </c>
      <c r="L6" s="2"/>
      <c r="M6" s="2"/>
      <c r="N6" s="2"/>
      <c r="O6" s="1"/>
      <c r="P6" s="1" t="s">
        <v>61</v>
      </c>
    </row>
    <row r="7" spans="1:16" x14ac:dyDescent="0.25">
      <c r="A7" s="1" t="s">
        <v>13</v>
      </c>
      <c r="B7" s="2" t="s">
        <v>21</v>
      </c>
      <c r="C7" s="1"/>
      <c r="D7" s="1" t="str">
        <f t="shared" si="0"/>
        <v>dmd-2</v>
      </c>
      <c r="E7" s="2" t="s">
        <v>22</v>
      </c>
      <c r="F7" s="1">
        <f xml:space="preserve"> IF(
  COUNTIF(auth!$C:$C,$D7) &gt; 0,
  permission!$C$2,
  0
)</f>
        <v>0</v>
      </c>
      <c r="G7" s="1">
        <f xml:space="preserve"> SUMIFS(auth!$D:$D, auth!$C:$C, $D7) * permission!$D$2</f>
        <v>0</v>
      </c>
      <c r="H7" s="1">
        <f xml:space="preserve"> SUMIFS(auth!$E:$E, auth!$C:$C, $D7) * permission!$E$2</f>
        <v>0</v>
      </c>
      <c r="I7" s="1">
        <f xml:space="preserve"> SUMIFS(auth!$F:$F, auth!$C:$C, $D7) * permission!$F$2</f>
        <v>0</v>
      </c>
      <c r="J7" s="1">
        <f xml:space="preserve"> SUMIFS(auth!$G:$G, auth!$C:$C, $D7) * permission!$G$2</f>
        <v>0</v>
      </c>
      <c r="K7" s="1">
        <f xml:space="preserve"> IF(
  OR($D7="", $F7=0),
  permission!$H$2,
  SUM($F7:$J7)
)</f>
        <v>31</v>
      </c>
      <c r="L7" s="2"/>
      <c r="M7" s="2"/>
      <c r="N7" s="2"/>
      <c r="O7" s="1"/>
      <c r="P7" s="1" t="s">
        <v>61</v>
      </c>
    </row>
    <row r="8" spans="1:16" x14ac:dyDescent="0.25">
      <c r="A8" s="1" t="s">
        <v>13</v>
      </c>
      <c r="B8" s="2" t="s">
        <v>38</v>
      </c>
      <c r="C8" s="1" t="s">
        <v>23</v>
      </c>
      <c r="D8" s="1" t="str">
        <f t="shared" si="0"/>
        <v>dmd-21</v>
      </c>
      <c r="E8" s="2" t="s">
        <v>24</v>
      </c>
      <c r="F8" s="1">
        <f xml:space="preserve"> IF(
  COUNTIF(auth!$C:$C,$D8) &gt; 0,
  permission!$C$2,
  0
)</f>
        <v>0</v>
      </c>
      <c r="G8" s="1">
        <f xml:space="preserve"> SUMIFS(auth!$D:$D, auth!$C:$C, $D8) * permission!$D$2</f>
        <v>0</v>
      </c>
      <c r="H8" s="1">
        <f xml:space="preserve"> SUMIFS(auth!$E:$E, auth!$C:$C, $D8) * permission!$E$2</f>
        <v>0</v>
      </c>
      <c r="I8" s="1">
        <f xml:space="preserve"> SUMIFS(auth!$F:$F, auth!$C:$C, $D8) * permission!$F$2</f>
        <v>0</v>
      </c>
      <c r="J8" s="1">
        <f xml:space="preserve"> SUMIFS(auth!$G:$G, auth!$C:$C, $D8) * permission!$G$2</f>
        <v>0</v>
      </c>
      <c r="K8" s="1">
        <f xml:space="preserve"> IF(
  OR($D8="", $F8=0),
  permission!$H$2,
  SUM($F8:$J8)
)</f>
        <v>31</v>
      </c>
      <c r="L8" s="2"/>
      <c r="M8" s="2"/>
      <c r="N8" s="2"/>
      <c r="O8" s="1"/>
      <c r="P8" s="1" t="s">
        <v>61</v>
      </c>
    </row>
    <row r="9" spans="1:16" x14ac:dyDescent="0.25">
      <c r="A9" s="1" t="s">
        <v>13</v>
      </c>
      <c r="B9" s="2" t="s">
        <v>25</v>
      </c>
      <c r="C9" s="1"/>
      <c r="D9" s="1" t="str">
        <f t="shared" si="0"/>
        <v>dmd-3</v>
      </c>
      <c r="E9" s="2" t="s">
        <v>26</v>
      </c>
      <c r="F9" s="1">
        <f xml:space="preserve"> IF(
  COUNTIF(auth!$C:$C,$D9) &gt; 0,
  permission!$C$2,
  0
)</f>
        <v>0</v>
      </c>
      <c r="G9" s="1">
        <f xml:space="preserve"> SUMIFS(auth!$D:$D, auth!$C:$C, $D9) * permission!$D$2</f>
        <v>0</v>
      </c>
      <c r="H9" s="1">
        <f xml:space="preserve"> SUMIFS(auth!$E:$E, auth!$C:$C, $D9) * permission!$E$2</f>
        <v>0</v>
      </c>
      <c r="I9" s="1">
        <f xml:space="preserve"> SUMIFS(auth!$F:$F, auth!$C:$C, $D9) * permission!$F$2</f>
        <v>0</v>
      </c>
      <c r="J9" s="1">
        <f xml:space="preserve"> SUMIFS(auth!$G:$G, auth!$C:$C, $D9) * permission!$G$2</f>
        <v>0</v>
      </c>
      <c r="K9" s="1">
        <f xml:space="preserve"> IF(
  OR($D9="", $F9=0),
  permission!$H$2,
  SUM($F9:$J9)
)</f>
        <v>31</v>
      </c>
      <c r="L9" s="2"/>
      <c r="M9" s="2"/>
      <c r="N9" s="2"/>
      <c r="O9" s="1"/>
      <c r="P9" s="1" t="s">
        <v>61</v>
      </c>
    </row>
    <row r="10" spans="1:16" x14ac:dyDescent="0.25">
      <c r="A10" s="1" t="s">
        <v>13</v>
      </c>
      <c r="B10" s="2" t="s">
        <v>36</v>
      </c>
      <c r="C10" s="1" t="s">
        <v>27</v>
      </c>
      <c r="D10" s="1" t="str">
        <f t="shared" si="0"/>
        <v>dmd-31</v>
      </c>
      <c r="E10" s="2" t="s">
        <v>28</v>
      </c>
      <c r="F10" s="1">
        <f xml:space="preserve"> IF(
  COUNTIF(auth!$C:$C,$D10) &gt; 0,
  permission!$C$2,
  0
)</f>
        <v>0</v>
      </c>
      <c r="G10" s="1">
        <f xml:space="preserve"> SUMIFS(auth!$D:$D, auth!$C:$C, $D10) * permission!$D$2</f>
        <v>0</v>
      </c>
      <c r="H10" s="1">
        <f xml:space="preserve"> SUMIFS(auth!$E:$E, auth!$C:$C, $D10) * permission!$E$2</f>
        <v>0</v>
      </c>
      <c r="I10" s="1">
        <f xml:space="preserve"> SUMIFS(auth!$F:$F, auth!$C:$C, $D10) * permission!$F$2</f>
        <v>0</v>
      </c>
      <c r="J10" s="1">
        <f xml:space="preserve"> SUMIFS(auth!$G:$G, auth!$C:$C, $D10) * permission!$G$2</f>
        <v>0</v>
      </c>
      <c r="K10" s="1">
        <f xml:space="preserve"> IF(
  OR($D10="", $F10=0),
  permission!$H$2,
  SUM($F10:$J10)
)</f>
        <v>31</v>
      </c>
      <c r="L10" s="2"/>
      <c r="M10" s="2"/>
      <c r="N10" s="2"/>
      <c r="O10" s="1"/>
      <c r="P10" s="1" t="s">
        <v>61</v>
      </c>
    </row>
    <row r="11" spans="1:16" x14ac:dyDescent="0.25">
      <c r="A11" s="1" t="s">
        <v>13</v>
      </c>
      <c r="B11" s="2" t="s">
        <v>29</v>
      </c>
      <c r="C11" s="1"/>
      <c r="D11" s="1" t="str">
        <f t="shared" si="0"/>
        <v>dmd-4</v>
      </c>
      <c r="E11" s="2" t="s">
        <v>30</v>
      </c>
      <c r="F11" s="1">
        <f xml:space="preserve"> IF(
  COUNTIF(auth!$C:$C,$D11) &gt; 0,
  permission!$C$2,
  0
)</f>
        <v>0</v>
      </c>
      <c r="G11" s="1">
        <f xml:space="preserve"> SUMIFS(auth!$D:$D, auth!$C:$C, $D11) * permission!$D$2</f>
        <v>0</v>
      </c>
      <c r="H11" s="1">
        <f xml:space="preserve"> SUMIFS(auth!$E:$E, auth!$C:$C, $D11) * permission!$E$2</f>
        <v>0</v>
      </c>
      <c r="I11" s="1">
        <f xml:space="preserve"> SUMIFS(auth!$F:$F, auth!$C:$C, $D11) * permission!$F$2</f>
        <v>0</v>
      </c>
      <c r="J11" s="1">
        <f xml:space="preserve"> SUMIFS(auth!$G:$G, auth!$C:$C, $D11) * permission!$G$2</f>
        <v>0</v>
      </c>
      <c r="K11" s="1">
        <f xml:space="preserve"> IF(
  OR($D11="", $F11=0),
  permission!$H$2,
  SUM($F11:$J11)
)</f>
        <v>31</v>
      </c>
      <c r="L11" s="2"/>
      <c r="M11" s="2"/>
      <c r="N11" s="2"/>
      <c r="O11" s="1"/>
      <c r="P11" s="1" t="s">
        <v>61</v>
      </c>
    </row>
    <row r="12" spans="1:16" x14ac:dyDescent="0.25">
      <c r="A12" s="1" t="s">
        <v>13</v>
      </c>
      <c r="B12" s="2" t="s">
        <v>33</v>
      </c>
      <c r="C12" s="1" t="s">
        <v>31</v>
      </c>
      <c r="D12" s="1" t="str">
        <f t="shared" si="0"/>
        <v>dmd-41</v>
      </c>
      <c r="E12" s="2" t="s">
        <v>32</v>
      </c>
      <c r="F12" s="1">
        <f xml:space="preserve"> IF(
  COUNTIF(auth!$C:$C,$D12) &gt; 0,
  permission!$C$2,
  0
)</f>
        <v>0</v>
      </c>
      <c r="G12" s="1">
        <f xml:space="preserve"> SUMIFS(auth!$D:$D, auth!$C:$C, $D12) * permission!$D$2</f>
        <v>0</v>
      </c>
      <c r="H12" s="1">
        <f xml:space="preserve"> SUMIFS(auth!$E:$E, auth!$C:$C, $D12) * permission!$E$2</f>
        <v>0</v>
      </c>
      <c r="I12" s="1">
        <f xml:space="preserve"> SUMIFS(auth!$F:$F, auth!$C:$C, $D12) * permission!$F$2</f>
        <v>0</v>
      </c>
      <c r="J12" s="1">
        <f xml:space="preserve"> SUMIFS(auth!$G:$G, auth!$C:$C, $D12) * permission!$G$2</f>
        <v>0</v>
      </c>
      <c r="K12" s="1">
        <f xml:space="preserve"> IF(
  OR($D12="", $F12=0),
  permission!$H$2,
  SUM($F12:$J12)
)</f>
        <v>31</v>
      </c>
      <c r="L12" s="2"/>
      <c r="M12" s="2"/>
      <c r="N12" s="2"/>
      <c r="O12" s="1"/>
      <c r="P12" s="1" t="s">
        <v>61</v>
      </c>
    </row>
    <row r="13" spans="1:16" x14ac:dyDescent="0.25">
      <c r="A13" s="1" t="s">
        <v>18</v>
      </c>
      <c r="B13" s="2" t="s">
        <v>33</v>
      </c>
      <c r="C13" s="1" t="s">
        <v>34</v>
      </c>
      <c r="D13" s="1" t="str">
        <f t="shared" si="0"/>
        <v>dmd-42</v>
      </c>
      <c r="E13" s="2" t="s">
        <v>35</v>
      </c>
      <c r="F13" s="1">
        <f xml:space="preserve"> IF(
  COUNTIF(auth!$C:$C,$D13) &gt; 0,
  permission!$C$2,
  0
)</f>
        <v>0</v>
      </c>
      <c r="G13" s="1">
        <f xml:space="preserve"> SUMIFS(auth!$D:$D, auth!$C:$C, $D13) * permission!$D$2</f>
        <v>0</v>
      </c>
      <c r="H13" s="1">
        <f xml:space="preserve"> SUMIFS(auth!$E:$E, auth!$C:$C, $D13) * permission!$E$2</f>
        <v>0</v>
      </c>
      <c r="I13" s="1">
        <f xml:space="preserve"> SUMIFS(auth!$F:$F, auth!$C:$C, $D13) * permission!$F$2</f>
        <v>0</v>
      </c>
      <c r="J13" s="1">
        <f xml:space="preserve"> SUMIFS(auth!$G:$G, auth!$C:$C, $D13) * permission!$G$2</f>
        <v>0</v>
      </c>
      <c r="K13" s="1">
        <f xml:space="preserve"> IF(
  OR($D13="", $F13=0),
  permission!$H$2,
  SUM($F13:$J13)
)</f>
        <v>31</v>
      </c>
      <c r="L13" s="2"/>
      <c r="M13" s="2"/>
      <c r="N13" s="2"/>
      <c r="O13" s="1"/>
      <c r="P13" s="1" t="s">
        <v>61</v>
      </c>
    </row>
    <row r="14" spans="1:16" x14ac:dyDescent="0.25">
      <c r="A14" s="2" t="s">
        <v>65</v>
      </c>
      <c r="B14" s="2"/>
      <c r="C14" s="1"/>
      <c r="D14" s="1" t="str">
        <f t="shared" si="0"/>
        <v>nav</v>
      </c>
      <c r="E14" s="2" t="s">
        <v>82</v>
      </c>
      <c r="F14" s="1">
        <f xml:space="preserve"> IF(
  COUNTIF(auth!$C:$C,$D14) &gt; 0,
  permission!$C$2,
  0
)</f>
        <v>0</v>
      </c>
      <c r="G14" s="1">
        <f xml:space="preserve"> SUMIFS(auth!$D:$D, auth!$C:$C, $D14) * permission!$D$2</f>
        <v>0</v>
      </c>
      <c r="H14" s="1">
        <f xml:space="preserve"> SUMIFS(auth!$E:$E, auth!$C:$C, $D14) * permission!$E$2</f>
        <v>0</v>
      </c>
      <c r="I14" s="1">
        <f xml:space="preserve"> SUMIFS(auth!$F:$F, auth!$C:$C, $D14) * permission!$F$2</f>
        <v>0</v>
      </c>
      <c r="J14" s="1">
        <f xml:space="preserve"> SUMIFS(auth!$G:$G, auth!$C:$C, $D14) * permission!$G$2</f>
        <v>0</v>
      </c>
      <c r="K14" s="1">
        <f xml:space="preserve"> IF(
  OR($D14="", $F14=0),
  permission!$H$2,
  SUM($F14:$J14)
)</f>
        <v>31</v>
      </c>
      <c r="L14" s="1" t="b">
        <v>0</v>
      </c>
      <c r="M14" s="2"/>
      <c r="N14" s="2"/>
      <c r="O14" s="1"/>
      <c r="P14" s="1" t="s">
        <v>61</v>
      </c>
    </row>
    <row r="15" spans="1:16" x14ac:dyDescent="0.25">
      <c r="A15" s="2" t="s">
        <v>65</v>
      </c>
      <c r="B15" s="2" t="s">
        <v>4</v>
      </c>
      <c r="C15" s="1" t="s">
        <v>76</v>
      </c>
      <c r="D15" s="1" t="str">
        <f t="shared" si="0"/>
        <v>nav1-1-1</v>
      </c>
      <c r="E15" s="2" t="s">
        <v>79</v>
      </c>
      <c r="F15" s="1">
        <f xml:space="preserve"> IF(
  COUNTIF(auth!$C:$C,$D15) &gt; 0,
  permission!$C$2,
  0
)</f>
        <v>1</v>
      </c>
      <c r="G15" s="1">
        <f xml:space="preserve"> SUMIFS(auth!$D:$D, auth!$C:$C, $D15) * permission!$D$2</f>
        <v>2</v>
      </c>
      <c r="H15" s="1">
        <f xml:space="preserve"> SUMIFS(auth!$E:$E, auth!$C:$C, $D15) * permission!$E$2</f>
        <v>4</v>
      </c>
      <c r="I15" s="1">
        <f xml:space="preserve"> SUMIFS(auth!$F:$F, auth!$C:$C, $D15) * permission!$F$2</f>
        <v>8</v>
      </c>
      <c r="J15" s="1">
        <f xml:space="preserve"> SUMIFS(auth!$G:$G, auth!$C:$C, $D15) * permission!$G$2</f>
        <v>16</v>
      </c>
      <c r="K15" s="1">
        <f xml:space="preserve"> IF(
  OR($D15="", $F15=0),
  permission!$H$2,
  SUM($F15:$J15)
)</f>
        <v>31</v>
      </c>
      <c r="L15" s="2"/>
      <c r="M15" s="2"/>
      <c r="N15" s="2"/>
      <c r="O15" s="1" t="b">
        <v>1</v>
      </c>
      <c r="P15" s="1" t="s">
        <v>61</v>
      </c>
    </row>
    <row r="16" spans="1:16" x14ac:dyDescent="0.25">
      <c r="A16" s="2" t="s">
        <v>65</v>
      </c>
      <c r="B16" s="2" t="s">
        <v>75</v>
      </c>
      <c r="C16" s="1" t="s">
        <v>77</v>
      </c>
      <c r="D16" s="1" t="str">
        <f t="shared" si="0"/>
        <v>nav1-1-2</v>
      </c>
      <c r="E16" s="2" t="s">
        <v>80</v>
      </c>
      <c r="F16" s="1">
        <f xml:space="preserve"> IF(
  COUNTIF(auth!$C:$C,$D16) &gt; 0,
  permission!$C$2,
  0
)</f>
        <v>1</v>
      </c>
      <c r="G16" s="1">
        <f xml:space="preserve"> SUMIFS(auth!$D:$D, auth!$C:$C, $D16) * permission!$D$2</f>
        <v>2</v>
      </c>
      <c r="H16" s="1">
        <f xml:space="preserve"> SUMIFS(auth!$E:$E, auth!$C:$C, $D16) * permission!$E$2</f>
        <v>4</v>
      </c>
      <c r="I16" s="1">
        <f xml:space="preserve"> SUMIFS(auth!$F:$F, auth!$C:$C, $D16) * permission!$F$2</f>
        <v>8</v>
      </c>
      <c r="J16" s="1">
        <f xml:space="preserve"> SUMIFS(auth!$G:$G, auth!$C:$C, $D16) * permission!$G$2</f>
        <v>16</v>
      </c>
      <c r="K16" s="1">
        <f xml:space="preserve"> IF(
  OR($D16="", $F16=0),
  permission!$H$2,
  SUM($F16:$J16)
)</f>
        <v>31</v>
      </c>
      <c r="L16" s="2"/>
      <c r="M16" s="2"/>
      <c r="N16" s="2"/>
      <c r="O16" s="1"/>
      <c r="P16" s="1" t="s">
        <v>61</v>
      </c>
    </row>
    <row r="17" spans="1:16" x14ac:dyDescent="0.25">
      <c r="A17" s="2" t="s">
        <v>65</v>
      </c>
      <c r="B17" s="2" t="s">
        <v>74</v>
      </c>
      <c r="C17" s="1" t="s">
        <v>78</v>
      </c>
      <c r="D17" s="1" t="str">
        <f t="shared" si="0"/>
        <v>nav1-1-4</v>
      </c>
      <c r="E17" s="2" t="s">
        <v>81</v>
      </c>
      <c r="F17" s="1">
        <f xml:space="preserve"> IF(
  COUNTIF(auth!$C:$C,$D17) &gt; 0,
  permission!$C$2,
  0
)</f>
        <v>1</v>
      </c>
      <c r="G17" s="1">
        <f xml:space="preserve"> SUMIFS(auth!$D:$D, auth!$C:$C, $D17) * permission!$D$2</f>
        <v>2</v>
      </c>
      <c r="H17" s="1">
        <f xml:space="preserve"> SUMIFS(auth!$E:$E, auth!$C:$C, $D17) * permission!$E$2</f>
        <v>4</v>
      </c>
      <c r="I17" s="1">
        <f xml:space="preserve"> SUMIFS(auth!$F:$F, auth!$C:$C, $D17) * permission!$F$2</f>
        <v>8</v>
      </c>
      <c r="J17" s="1">
        <f xml:space="preserve"> SUMIFS(auth!$G:$G, auth!$C:$C, $D17) * permission!$G$2</f>
        <v>16</v>
      </c>
      <c r="K17" s="1">
        <f xml:space="preserve"> IF(
  OR($D17="", $F17=0),
  permission!$H$2,
  SUM($F17:$J17)
)</f>
        <v>31</v>
      </c>
      <c r="L17" s="2"/>
      <c r="M17" s="2"/>
      <c r="N17" s="2"/>
      <c r="O17" s="1"/>
      <c r="P17" s="1" t="s">
        <v>61</v>
      </c>
    </row>
  </sheetData>
  <autoFilter ref="A1:P17" xr:uid="{00000000-0009-0000-0000-000001000000}"/>
  <phoneticPr fontId="1" type="noConversion"/>
  <conditionalFormatting sqref="A2:E17">
    <cfRule type="expression" dxfId="3" priority="112">
      <formula>AND($B2="",$C2="",COUNTIFS($A:$A,$A2,$B:$B,"",$C:$C,"")&gt;1)</formula>
    </cfRule>
  </conditionalFormatting>
  <conditionalFormatting sqref="B2:E17">
    <cfRule type="expression" dxfId="2" priority="108">
      <formula>AND($C2="",COUNTIFS($B:$B,$B2,$C:$C,"")&gt;1)</formula>
    </cfRule>
  </conditionalFormatting>
  <conditionalFormatting sqref="C2:E17">
    <cfRule type="expression" dxfId="1" priority="82">
      <formula>COUNTIF($C:$C,$C2)&gt;1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2" id="{4FB29664-2E7F-40AA-BCB5-FC05986ECF3E}">
            <xm:f>AND($A2&lt;&gt;"",$B2="",$C2="",COUNTIF(auth!$B:$B,$A2)=0)</xm:f>
            <x14:dxf>
              <fill>
                <patternFill>
                  <bgColor rgb="FFCCECFF"/>
                </patternFill>
              </fill>
            </x14:dxf>
          </x14:cfRule>
          <xm:sqref>A2:A17</xm:sqref>
        </x14:conditionalFormatting>
        <x14:conditionalFormatting xmlns:xm="http://schemas.microsoft.com/office/excel/2006/main">
          <x14:cfRule type="expression" priority="131" id="{6947890B-62A0-4074-A796-A9B2C38732AD}">
            <xm:f>AND($B2&lt;&gt;"",$C2="",COUNTIF(auth!$C:$C,$B2)=0)</xm:f>
            <x14:dxf>
              <fill>
                <patternFill>
                  <bgColor rgb="FFCCFF99"/>
                </patternFill>
              </fill>
            </x14:dxf>
          </x14:cfRule>
          <xm:sqref>A2:B17</xm:sqref>
        </x14:conditionalFormatting>
        <x14:conditionalFormatting xmlns:xm="http://schemas.microsoft.com/office/excel/2006/main">
          <x14:cfRule type="expression" priority="128" id="{0EAC864B-1746-4518-88E2-8977E972D8FE}">
            <xm:f>AND($C2&lt;&gt;"",COUNTIF(auth!$C:$C,$C2)=0)</xm:f>
            <x14:dxf>
              <fill>
                <patternFill>
                  <bgColor rgb="FFFFFF99"/>
                </patternFill>
              </fill>
            </x14:dxf>
          </x14:cfRule>
          <xm:sqref>A2:D17</xm:sqref>
        </x14:conditionalFormatting>
        <x14:conditionalFormatting xmlns:xm="http://schemas.microsoft.com/office/excel/2006/main">
          <x14:cfRule type="expression" priority="1" id="{BBEF6D8E-01EC-4C51-A500-BA5832CF55CA}">
            <xm:f>OR($F2&gt;permission!$C$2,$G2&gt;permission!$D$2,$H2&gt;permission!$E$2,$I2&gt;permission!$F$2,$J2&gt;permission!$G$2)</xm:f>
            <x14:dxf>
              <fill>
                <patternFill>
                  <bgColor rgb="FFCCCCFF"/>
                </patternFill>
              </fill>
            </x14:dxf>
          </x14:cfRule>
          <xm:sqref>K2:K17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G1" sqref="C1:G1"/>
    </sheetView>
  </sheetViews>
  <sheetFormatPr defaultRowHeight="16.5" x14ac:dyDescent="0.25"/>
  <cols>
    <col min="8" max="8" width="9.5" bestFit="1" customWidth="1"/>
  </cols>
  <sheetData>
    <row r="1" spans="1:8" ht="20.100000000000001" customHeight="1" x14ac:dyDescent="0.25">
      <c r="A1" s="9" t="s">
        <v>52</v>
      </c>
      <c r="B1" s="9"/>
      <c r="C1" s="6" t="s">
        <v>45</v>
      </c>
      <c r="D1" s="6" t="s">
        <v>47</v>
      </c>
      <c r="E1" s="6" t="s">
        <v>49</v>
      </c>
      <c r="F1" s="6" t="s">
        <v>2</v>
      </c>
      <c r="G1" s="6" t="s">
        <v>3</v>
      </c>
      <c r="H1" s="6" t="s">
        <v>55</v>
      </c>
    </row>
    <row r="2" spans="1:8" ht="20.100000000000001" customHeight="1" x14ac:dyDescent="0.25">
      <c r="A2" s="9" t="s">
        <v>53</v>
      </c>
      <c r="B2" s="9"/>
      <c r="C2" s="6">
        <v>1</v>
      </c>
      <c r="D2" s="6">
        <v>2</v>
      </c>
      <c r="E2" s="6">
        <v>4</v>
      </c>
      <c r="F2" s="6">
        <v>8</v>
      </c>
      <c r="G2" s="6">
        <v>16</v>
      </c>
      <c r="H2" s="4">
        <f>SUM($C2:$G2)</f>
        <v>31</v>
      </c>
    </row>
    <row r="3" spans="1:8" ht="20.100000000000001" customHeight="1" x14ac:dyDescent="0.25">
      <c r="A3" s="9" t="s">
        <v>54</v>
      </c>
      <c r="B3" s="9"/>
      <c r="C3" s="5" t="s">
        <v>39</v>
      </c>
      <c r="D3" s="5" t="s">
        <v>43</v>
      </c>
      <c r="E3" s="5" t="s">
        <v>40</v>
      </c>
      <c r="F3" s="5" t="s">
        <v>41</v>
      </c>
      <c r="G3" s="5" t="s">
        <v>42</v>
      </c>
      <c r="H3" s="2"/>
    </row>
  </sheetData>
  <mergeCells count="3">
    <mergeCell ref="A3:B3"/>
    <mergeCell ref="A2:B2"/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auth</vt:lpstr>
      <vt:lpstr>routes</vt:lpstr>
      <vt:lpstr>permission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AAT-Ting</dc:creator>
  <cp:lastModifiedBy>zhenzhan xie</cp:lastModifiedBy>
  <dcterms:created xsi:type="dcterms:W3CDTF">2022-01-26T07:28:04Z</dcterms:created>
  <dcterms:modified xsi:type="dcterms:W3CDTF">2025-11-11T14:52:16Z</dcterms:modified>
</cp:coreProperties>
</file>